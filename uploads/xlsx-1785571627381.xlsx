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填写说明 Instructions" sheetId="1" state="visible" r:id="rId3"/>
    <sheet name="工厂基本信息 General Info" sheetId="2" state="visible" r:id="rId4"/>
    <sheet name="问卷正文 Questionnaire" sheetId="3" state="visible" r:id="rId5"/>
    <sheet name="计分汇总 Score" sheetId="4" state="visible" r:id="rId6"/>
    <sheet name="权重表 Weights" sheetId="5" state="hidden"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<sst xmlns="http://schemas.openxmlformats.org/spreadsheetml/2006/main" count="1724" uniqueCount="700">
  <si>
    <r>
      <rPr>
        <b val="true"/>
        <sz val="16"/>
        <color rgb="FF002D6B"/>
        <rFont val="Arial"/>
        <family val="0"/>
        <charset val="1"/>
      </rPr>
      <t xml:space="preserve">Autoliv </t>
    </r>
    <r>
      <rPr>
        <b val="true"/>
        <sz val="16"/>
        <color rgb="FF002D6B"/>
        <rFont val="Noto Sans CJK SC"/>
        <family val="2"/>
      </rPr>
      <t xml:space="preserve">供应商可持续指数  </t>
    </r>
    <r>
      <rPr>
        <b val="true"/>
        <sz val="16"/>
        <color rgb="FF002D6B"/>
        <rFont val="Arial"/>
        <family val="0"/>
        <charset val="1"/>
      </rPr>
      <t xml:space="preserve">·  </t>
    </r>
    <r>
      <rPr>
        <b val="true"/>
        <sz val="16"/>
        <color rgb="FF002D6B"/>
        <rFont val="Noto Sans CJK SC"/>
        <family val="2"/>
      </rPr>
      <t xml:space="preserve">填写说明</t>
    </r>
  </si>
  <si>
    <t xml:space="preserve">Autoliv Supplier Sustainability Index (ASSI) — Instructions</t>
  </si>
  <si>
    <r>
      <rPr>
        <sz val="9"/>
        <color rgb="FF8A99A2"/>
        <rFont val="Arial"/>
        <family val="0"/>
        <charset val="1"/>
      </rPr>
      <t xml:space="preserve">v1.0 (Cowork, 2026-08-01)   ·   </t>
    </r>
    <r>
      <rPr>
        <sz val="9"/>
        <color rgb="FF8A99A2"/>
        <rFont val="Noto Sans CJK SC"/>
        <family val="2"/>
      </rPr>
      <t xml:space="preserve">共 </t>
    </r>
    <r>
      <rPr>
        <sz val="9"/>
        <color rgb="FF8A99A2"/>
        <rFont val="Arial"/>
        <family val="0"/>
        <charset val="1"/>
      </rPr>
      <t xml:space="preserve">133 </t>
    </r>
    <r>
      <rPr>
        <sz val="9"/>
        <color rgb="FF8A99A2"/>
        <rFont val="Noto Sans CJK SC"/>
        <family val="2"/>
      </rPr>
      <t xml:space="preserve">题 </t>
    </r>
    <r>
      <rPr>
        <sz val="9"/>
        <color rgb="FF8A99A2"/>
        <rFont val="Arial"/>
        <family val="0"/>
        <charset val="1"/>
      </rPr>
      <t xml:space="preserve">/ 6 </t>
    </r>
    <r>
      <rPr>
        <sz val="9"/>
        <color rgb="FF8A99A2"/>
        <rFont val="Noto Sans CJK SC"/>
        <family val="2"/>
      </rPr>
      <t xml:space="preserve">大支柱   </t>
    </r>
    <r>
      <rPr>
        <sz val="9"/>
        <color rgb="FF8A99A2"/>
        <rFont val="Arial"/>
        <family val="0"/>
        <charset val="1"/>
      </rPr>
      <t xml:space="preserve">·   </t>
    </r>
    <r>
      <rPr>
        <sz val="9"/>
        <color rgb="FF8A99A2"/>
        <rFont val="Noto Sans CJK SC"/>
        <family val="2"/>
      </rPr>
      <t xml:space="preserve">基准 </t>
    </r>
    <r>
      <rPr>
        <sz val="9"/>
        <color rgb="FF8A99A2"/>
        <rFont val="Arial"/>
        <family val="0"/>
        <charset val="1"/>
      </rPr>
      <t xml:space="preserve">Baseline</t>
    </r>
    <r>
      <rPr>
        <sz val="9"/>
        <color rgb="FF8A99A2"/>
        <rFont val="Noto Sans CJK SC"/>
        <family val="2"/>
      </rPr>
      <t xml:space="preserve">：</t>
    </r>
    <r>
      <rPr>
        <sz val="9"/>
        <color rgb="FF8A99A2"/>
        <rFont val="Arial"/>
        <family val="0"/>
        <charset val="1"/>
      </rPr>
      <t xml:space="preserve">Polestar SSI 112 </t>
    </r>
    <r>
      <rPr>
        <sz val="9"/>
        <color rgb="FF8A99A2"/>
        <rFont val="Noto Sans CJK SC"/>
        <family val="2"/>
      </rPr>
      <t xml:space="preserve">题</t>
    </r>
  </si>
  <si>
    <r>
      <rPr>
        <b val="true"/>
        <sz val="10"/>
        <color rgb="FF1F2A30"/>
        <rFont val="Arial"/>
        <family val="0"/>
        <charset val="1"/>
      </rPr>
      <t xml:space="preserve">1. </t>
    </r>
    <r>
      <rPr>
        <b val="true"/>
        <sz val="10"/>
        <color rgb="FF1F2A30"/>
        <rFont val="Noto Sans CJK SC"/>
        <family val="2"/>
      </rPr>
      <t xml:space="preserve">用途：本 </t>
    </r>
    <r>
      <rPr>
        <b val="true"/>
        <sz val="10"/>
        <color rgb="FF1F2A30"/>
        <rFont val="Arial"/>
        <family val="0"/>
        <charset val="1"/>
      </rPr>
      <t xml:space="preserve">ASSI </t>
    </r>
    <r>
      <rPr>
        <b val="true"/>
        <sz val="10"/>
        <color rgb="FF1F2A30"/>
        <rFont val="Noto Sans CJK SC"/>
        <family val="2"/>
      </rPr>
      <t xml:space="preserve">用于 </t>
    </r>
    <r>
      <rPr>
        <b val="true"/>
        <sz val="10"/>
        <color rgb="FF1F2A30"/>
        <rFont val="Arial"/>
        <family val="0"/>
        <charset val="1"/>
      </rPr>
      <t xml:space="preserve">Autoliv </t>
    </r>
    <r>
      <rPr>
        <b val="true"/>
        <sz val="10"/>
        <color rgb="FF1F2A30"/>
        <rFont val="Noto Sans CJK SC"/>
        <family val="2"/>
      </rPr>
      <t xml:space="preserve">对直接材料供应商（备件采购、生产或服务）的新供应商准入评估，及现有供应商的年度可持续绩效评估。</t>
    </r>
  </si>
  <si>
    <t xml:space="preserve">   Purpose: The ASSI evaluates new suppliers under consideration and existing suppliers (annual assessment) for sourcing of parts, manufacturing or services.</t>
  </si>
  <si>
    <r>
      <rPr>
        <b val="true"/>
        <sz val="10"/>
        <color rgb="FF1F2A30"/>
        <rFont val="Arial"/>
        <family val="0"/>
        <charset val="1"/>
      </rPr>
      <t xml:space="preserve">2. </t>
    </r>
    <r>
      <rPr>
        <b val="true"/>
        <sz val="10"/>
        <color rgb="FF1F2A30"/>
        <rFont val="Noto Sans CJK SC"/>
        <family val="2"/>
      </rPr>
      <t xml:space="preserve">填写人：应由供应商有能力的人员（如可持续发展经理）完整填写；须同时提供集团与工厂两级信息。</t>
    </r>
  </si>
  <si>
    <t xml:space="preserve">   To be completed in full by competent personnel (e.g. sustainability manager); provide both corporate- and factory-level information.</t>
  </si>
  <si>
    <r>
      <rPr>
        <b val="true"/>
        <sz val="10"/>
        <color rgb="FF1F2A30"/>
        <rFont val="Arial"/>
        <family val="0"/>
        <charset val="1"/>
      </rPr>
      <t xml:space="preserve">3. </t>
    </r>
    <r>
      <rPr>
        <b val="true"/>
        <sz val="10"/>
        <color rgb="FF1F2A30"/>
        <rFont val="Noto Sans CJK SC"/>
        <family val="2"/>
      </rPr>
      <t xml:space="preserve">作答：在「问卷正文」表中，每题于『作答 </t>
    </r>
    <r>
      <rPr>
        <b val="true"/>
        <sz val="10"/>
        <color rgb="FF1F2A30"/>
        <rFont val="Arial"/>
        <family val="0"/>
        <charset val="1"/>
      </rPr>
      <t xml:space="preserve">Answer</t>
    </r>
    <r>
      <rPr>
        <b val="true"/>
        <sz val="10"/>
        <color rgb="FF1F2A30"/>
        <rFont val="Noto Sans CJK SC"/>
        <family val="2"/>
      </rPr>
      <t xml:space="preserve">』列下拉选择 是 </t>
    </r>
    <r>
      <rPr>
        <b val="true"/>
        <sz val="10"/>
        <color rgb="FF1F2A30"/>
        <rFont val="Arial"/>
        <family val="0"/>
        <charset val="1"/>
      </rPr>
      <t xml:space="preserve">/ </t>
    </r>
    <r>
      <rPr>
        <b val="true"/>
        <sz val="10"/>
        <color rgb="FF1F2A30"/>
        <rFont val="Noto Sans CJK SC"/>
        <family val="2"/>
      </rPr>
      <t xml:space="preserve">否 </t>
    </r>
    <r>
      <rPr>
        <b val="true"/>
        <sz val="10"/>
        <color rgb="FF1F2A30"/>
        <rFont val="Arial"/>
        <family val="0"/>
        <charset val="1"/>
      </rPr>
      <t xml:space="preserve">/ </t>
    </r>
    <r>
      <rPr>
        <b val="true"/>
        <sz val="10"/>
        <color rgb="FF1F2A30"/>
        <rFont val="Noto Sans CJK SC"/>
        <family val="2"/>
      </rPr>
      <t xml:space="preserve">不适用</t>
    </r>
    <r>
      <rPr>
        <b val="true"/>
        <sz val="10"/>
        <color rgb="FF1F2A30"/>
        <rFont val="Arial"/>
        <family val="0"/>
        <charset val="1"/>
      </rPr>
      <t xml:space="preserve">(N/A)</t>
    </r>
    <r>
      <rPr>
        <b val="true"/>
        <sz val="10"/>
        <color rgb="FF1F2A30"/>
        <rFont val="Noto Sans CJK SC"/>
        <family val="2"/>
      </rPr>
      <t xml:space="preserve">；并在『支持信息』列填写佐证，作为评分依据。</t>
    </r>
  </si>
  <si>
    <r>
      <rPr>
        <sz val="9"/>
        <color rgb="FF8A99A2"/>
        <rFont val="Arial"/>
        <family val="0"/>
        <charset val="1"/>
      </rPr>
      <t xml:space="preserve">   Answering: for each question pick </t>
    </r>
    <r>
      <rPr>
        <sz val="9"/>
        <color rgb="FF8A99A2"/>
        <rFont val="Noto Sans CJK SC"/>
        <family val="2"/>
      </rPr>
      <t xml:space="preserve">是</t>
    </r>
    <r>
      <rPr>
        <sz val="9"/>
        <color rgb="FF8A99A2"/>
        <rFont val="Arial"/>
        <family val="0"/>
        <charset val="1"/>
      </rPr>
      <t xml:space="preserve">/</t>
    </r>
    <r>
      <rPr>
        <sz val="9"/>
        <color rgb="FF8A99A2"/>
        <rFont val="Noto Sans CJK SC"/>
        <family val="2"/>
      </rPr>
      <t xml:space="preserve">否</t>
    </r>
    <r>
      <rPr>
        <sz val="9"/>
        <color rgb="FF8A99A2"/>
        <rFont val="Arial"/>
        <family val="0"/>
        <charset val="1"/>
      </rPr>
      <t xml:space="preserve">/N/A in the Answer column and fill Supporting Information as the basis for scoring.</t>
    </r>
  </si>
  <si>
    <r>
      <rPr>
        <b val="true"/>
        <sz val="10"/>
        <color rgb="FF1F2A30"/>
        <rFont val="Arial"/>
        <family val="0"/>
        <charset val="1"/>
      </rPr>
      <t xml:space="preserve">4. </t>
    </r>
    <r>
      <rPr>
        <b val="true"/>
        <sz val="10"/>
        <color rgb="FF1F2A30"/>
        <rFont val="Noto Sans CJK SC"/>
        <family val="2"/>
      </rPr>
      <t xml:space="preserve">计分：总分与各支柱得分自动计算 —— 得分 </t>
    </r>
    <r>
      <rPr>
        <b val="true"/>
        <sz val="10"/>
        <color rgb="FF1F2A30"/>
        <rFont val="Arial"/>
        <family val="0"/>
        <charset val="1"/>
      </rPr>
      <t xml:space="preserve">= Σ</t>
    </r>
    <r>
      <rPr>
        <b val="true"/>
        <sz val="10"/>
        <color rgb="FF1F2A30"/>
        <rFont val="Noto Sans CJK SC"/>
        <family val="2"/>
      </rPr>
      <t xml:space="preserve">权重</t>
    </r>
    <r>
      <rPr>
        <b val="true"/>
        <sz val="10"/>
        <color rgb="FF1F2A30"/>
        <rFont val="Arial"/>
        <family val="0"/>
        <charset val="1"/>
      </rPr>
      <t xml:space="preserve">(</t>
    </r>
    <r>
      <rPr>
        <b val="true"/>
        <sz val="10"/>
        <color rgb="FF1F2A30"/>
        <rFont val="Noto Sans CJK SC"/>
        <family val="2"/>
      </rPr>
      <t xml:space="preserve">是</t>
    </r>
    <r>
      <rPr>
        <b val="true"/>
        <sz val="10"/>
        <color rgb="FF1F2A30"/>
        <rFont val="Arial"/>
        <family val="0"/>
        <charset val="1"/>
      </rPr>
      <t xml:space="preserve">) / Σ</t>
    </r>
    <r>
      <rPr>
        <b val="true"/>
        <sz val="10"/>
        <color rgb="FF1F2A30"/>
        <rFont val="Noto Sans CJK SC"/>
        <family val="2"/>
      </rPr>
      <t xml:space="preserve">权重</t>
    </r>
    <r>
      <rPr>
        <b val="true"/>
        <sz val="10"/>
        <color rgb="FF1F2A30"/>
        <rFont val="Arial"/>
        <family val="0"/>
        <charset val="1"/>
      </rPr>
      <t xml:space="preserve">(</t>
    </r>
    <r>
      <rPr>
        <b val="true"/>
        <sz val="10"/>
        <color rgb="FF1F2A30"/>
        <rFont val="Noto Sans CJK SC"/>
        <family val="2"/>
      </rPr>
      <t xml:space="preserve">全部，剔除 </t>
    </r>
    <r>
      <rPr>
        <b val="true"/>
        <sz val="10"/>
        <color rgb="FF1F2A30"/>
        <rFont val="Arial"/>
        <family val="0"/>
        <charset val="1"/>
      </rPr>
      <t xml:space="preserve">N/A) × 100</t>
    </r>
    <r>
      <rPr>
        <b val="true"/>
        <sz val="10"/>
        <color rgb="FF1F2A30"/>
        <rFont val="Noto Sans CJK SC"/>
        <family val="2"/>
      </rPr>
      <t xml:space="preserve">。权重 </t>
    </r>
    <r>
      <rPr>
        <b val="true"/>
        <sz val="10"/>
        <color rgb="FF1F2A30"/>
        <rFont val="Arial"/>
        <family val="0"/>
        <charset val="1"/>
      </rPr>
      <t xml:space="preserve">1 </t>
    </r>
    <r>
      <rPr>
        <b val="true"/>
        <sz val="10"/>
        <color rgb="FF1F2A30"/>
        <rFont val="Noto Sans CJK SC"/>
        <family val="2"/>
      </rPr>
      <t xml:space="preserve">或 </t>
    </r>
    <r>
      <rPr>
        <b val="true"/>
        <sz val="10"/>
        <color rgb="FF1F2A30"/>
        <rFont val="Arial"/>
        <family val="0"/>
        <charset val="1"/>
      </rPr>
      <t xml:space="preserve">3</t>
    </r>
    <r>
      <rPr>
        <b val="true"/>
        <sz val="10"/>
        <color rgb="FF1F2A30"/>
        <rFont val="Noto Sans CJK SC"/>
        <family val="2"/>
      </rPr>
      <t xml:space="preserve">（透明度</t>
    </r>
    <r>
      <rPr>
        <b val="true"/>
        <sz val="10"/>
        <color rgb="FF1F2A30"/>
        <rFont val="Arial"/>
        <family val="0"/>
        <charset val="1"/>
      </rPr>
      <t xml:space="preserve">·</t>
    </r>
    <r>
      <rPr>
        <b val="true"/>
        <sz val="10"/>
        <color rgb="FF1F2A30"/>
        <rFont val="Noto Sans CJK SC"/>
        <family val="2"/>
      </rPr>
      <t xml:space="preserve">冲突矿产</t>
    </r>
    <r>
      <rPr>
        <b val="true"/>
        <sz val="10"/>
        <color rgb="FF1F2A30"/>
        <rFont val="Arial"/>
        <family val="0"/>
        <charset val="1"/>
      </rPr>
      <t xml:space="preserve">·</t>
    </r>
    <r>
      <rPr>
        <b val="true"/>
        <sz val="10"/>
        <color rgb="FF1F2A30"/>
        <rFont val="Noto Sans CJK SC"/>
        <family val="2"/>
      </rPr>
      <t xml:space="preserve">关键治理与安全项加权 </t>
    </r>
    <r>
      <rPr>
        <b val="true"/>
        <sz val="10"/>
        <color rgb="FF1F2A30"/>
        <rFont val="Arial"/>
        <family val="0"/>
        <charset val="1"/>
      </rPr>
      <t xml:space="preserve">3</t>
    </r>
    <r>
      <rPr>
        <b val="true"/>
        <sz val="10"/>
        <color rgb="FF1F2A30"/>
        <rFont val="Noto Sans CJK SC"/>
        <family val="2"/>
      </rPr>
      <t xml:space="preserve">）。</t>
    </r>
  </si>
  <si>
    <t xml:space="preserve">   Scoring is automatic: score = Σweight(Yes) / Σweight(all, excl. N/A) × 100. Weights are 1 or 3.</t>
  </si>
  <si>
    <r>
      <rPr>
        <b val="true"/>
        <sz val="10"/>
        <color rgb="FF1F2A30"/>
        <rFont val="Arial"/>
        <family val="0"/>
        <charset val="1"/>
      </rPr>
      <t xml:space="preserve">5. </t>
    </r>
    <r>
      <rPr>
        <b val="true"/>
        <sz val="10"/>
        <color rgb="FF1F2A30"/>
        <rFont val="Noto Sans CJK SC"/>
        <family val="2"/>
      </rPr>
      <t xml:space="preserve">最低要求项（标记 </t>
    </r>
    <r>
      <rPr>
        <b val="true"/>
        <sz val="10"/>
        <color rgb="FF1F2A30"/>
        <rFont val="Arial"/>
        <family val="0"/>
        <charset val="1"/>
      </rPr>
      <t xml:space="preserve">R = Requirement</t>
    </r>
    <r>
      <rPr>
        <b val="true"/>
        <sz val="10"/>
        <color rgb="FF1F2A30"/>
        <rFont val="Noto Sans CJK SC"/>
        <family val="2"/>
      </rPr>
      <t xml:space="preserve">）：不可谈判，作为长期合作最低门槛；任一 </t>
    </r>
    <r>
      <rPr>
        <b val="true"/>
        <sz val="10"/>
        <color rgb="FF1F2A30"/>
        <rFont val="Arial"/>
        <family val="0"/>
        <charset val="1"/>
      </rPr>
      <t xml:space="preserve">R </t>
    </r>
    <r>
      <rPr>
        <b val="true"/>
        <sz val="10"/>
        <color rgb="FF1F2A30"/>
        <rFont val="Noto Sans CJK SC"/>
        <family val="2"/>
      </rPr>
      <t xml:space="preserve">项答『否』即触发未达标提示，须优先整改。</t>
    </r>
  </si>
  <si>
    <r>
      <rPr>
        <sz val="9"/>
        <color rgb="FF8A99A2"/>
        <rFont val="Arial"/>
        <family val="0"/>
        <charset val="1"/>
      </rPr>
      <t xml:space="preserve">   Requirement items (R) are non-negotiable minimum thresholds; any R answered </t>
    </r>
    <r>
      <rPr>
        <sz val="9"/>
        <color rgb="FF8A99A2"/>
        <rFont val="Noto Sans CJK SC"/>
        <family val="2"/>
      </rPr>
      <t xml:space="preserve">否 </t>
    </r>
    <r>
      <rPr>
        <sz val="9"/>
        <color rgb="FF8A99A2"/>
        <rFont val="Arial"/>
        <family val="0"/>
        <charset val="1"/>
      </rPr>
      <t xml:space="preserve">triggers a below-minimum flag.</t>
    </r>
  </si>
  <si>
    <r>
      <rPr>
        <b val="true"/>
        <sz val="10"/>
        <color rgb="FF1F2A30"/>
        <rFont val="Arial"/>
        <family val="0"/>
        <charset val="1"/>
      </rPr>
      <t xml:space="preserve">6. </t>
    </r>
    <r>
      <rPr>
        <b val="true"/>
        <sz val="10"/>
        <color rgb="FF1F2A30"/>
        <rFont val="Noto Sans CJK SC"/>
        <family val="2"/>
      </rPr>
      <t xml:space="preserve">期望项（</t>
    </r>
    <r>
      <rPr>
        <b val="true"/>
        <sz val="10"/>
        <color rgb="FF1F2A30"/>
        <rFont val="Arial"/>
        <family val="0"/>
        <charset val="1"/>
      </rPr>
      <t xml:space="preserve">E = Expectation</t>
    </r>
    <r>
      <rPr>
        <b val="true"/>
        <sz val="10"/>
        <color rgb="FF1F2A30"/>
        <rFont val="Noto Sans CJK SC"/>
        <family val="2"/>
      </rPr>
      <t xml:space="preserve">）未来将转为强制；新增项（</t>
    </r>
    <r>
      <rPr>
        <b val="true"/>
        <sz val="10"/>
        <color rgb="FF1F2A30"/>
        <rFont val="Arial"/>
        <family val="0"/>
        <charset val="1"/>
      </rPr>
      <t xml:space="preserve">N = New 2025</t>
    </r>
    <r>
      <rPr>
        <b val="true"/>
        <sz val="10"/>
        <color rgb="FF1F2A30"/>
        <rFont val="Noto Sans CJK SC"/>
        <family val="2"/>
      </rPr>
      <t xml:space="preserve">）为 </t>
    </r>
    <r>
      <rPr>
        <b val="true"/>
        <sz val="10"/>
        <color rgb="FF1F2A30"/>
        <rFont val="Arial"/>
        <family val="0"/>
        <charset val="1"/>
      </rPr>
      <t xml:space="preserve">Autoliv 2025 </t>
    </r>
    <r>
      <rPr>
        <b val="true"/>
        <sz val="10"/>
        <color rgb="FF1F2A30"/>
        <rFont val="Noto Sans CJK SC"/>
        <family val="2"/>
      </rPr>
      <t xml:space="preserve">新要求。</t>
    </r>
  </si>
  <si>
    <t xml:space="preserve">   Expectations (E) will become mandatory; New (N) are Autoliv's 2025 additions.</t>
  </si>
  <si>
    <r>
      <rPr>
        <b val="true"/>
        <sz val="10"/>
        <color rgb="FF1F2A30"/>
        <rFont val="Arial"/>
        <family val="0"/>
        <charset val="1"/>
      </rPr>
      <t xml:space="preserve">7. </t>
    </r>
    <r>
      <rPr>
        <b val="true"/>
        <sz val="10"/>
        <color rgb="FF1F2A30"/>
        <rFont val="Noto Sans CJK SC"/>
        <family val="2"/>
      </rPr>
      <t xml:space="preserve">真实性：供应商须确保信息真实、准确；合作达成后 </t>
    </r>
    <r>
      <rPr>
        <b val="true"/>
        <sz val="10"/>
        <color rgb="FF1F2A30"/>
        <rFont val="Arial"/>
        <family val="0"/>
        <charset val="1"/>
      </rPr>
      <t xml:space="preserve">Autoliv </t>
    </r>
    <r>
      <rPr>
        <b val="true"/>
        <sz val="10"/>
        <color rgb="FF1F2A30"/>
        <rFont val="Noto Sans CJK SC"/>
        <family val="2"/>
      </rPr>
      <t xml:space="preserve">可通过现场审核与文件审阅核实（对应要求 </t>
    </r>
    <r>
      <rPr>
        <b val="true"/>
        <sz val="10"/>
        <color rgb="FF1F2A30"/>
        <rFont val="Arial"/>
        <family val="0"/>
        <charset val="1"/>
      </rPr>
      <t xml:space="preserve">#37</t>
    </r>
    <r>
      <rPr>
        <b val="true"/>
        <sz val="10"/>
        <color rgb="FF1F2A30"/>
        <rFont val="Noto Sans CJK SC"/>
        <family val="2"/>
      </rPr>
      <t xml:space="preserve">）。</t>
    </r>
  </si>
  <si>
    <t xml:space="preserve">   The supplier warrants the information is true and accurate; Autoliv may verify via on-site audit and desktop review (requirement #37).</t>
  </si>
  <si>
    <r>
      <rPr>
        <b val="true"/>
        <sz val="10"/>
        <color rgb="FF1F2A30"/>
        <rFont val="Arial"/>
        <family val="0"/>
        <charset val="1"/>
      </rPr>
      <t xml:space="preserve">8. </t>
    </r>
    <r>
      <rPr>
        <b val="true"/>
        <sz val="10"/>
        <color rgb="FF1F2A30"/>
        <rFont val="Noto Sans CJK SC"/>
        <family val="2"/>
      </rPr>
      <t xml:space="preserve">传导：作为 </t>
    </r>
    <r>
      <rPr>
        <b val="true"/>
        <sz val="10"/>
        <color rgb="FF1F2A30"/>
        <rFont val="Arial"/>
        <family val="0"/>
        <charset val="1"/>
      </rPr>
      <t xml:space="preserve">Autoliv </t>
    </r>
    <r>
      <rPr>
        <b val="true"/>
        <sz val="10"/>
        <color rgb="FF1F2A30"/>
        <rFont val="Noto Sans CJK SC"/>
        <family val="2"/>
      </rPr>
      <t xml:space="preserve">要求 </t>
    </r>
    <r>
      <rPr>
        <b val="true"/>
        <sz val="10"/>
        <color rgb="FF1F2A30"/>
        <rFont val="Arial"/>
        <family val="0"/>
        <charset val="1"/>
      </rPr>
      <t xml:space="preserve">#34</t>
    </r>
    <r>
      <rPr>
        <b val="true"/>
        <sz val="10"/>
        <color rgb="FF1F2A30"/>
        <rFont val="Noto Sans CJK SC"/>
        <family val="2"/>
      </rPr>
      <t xml:space="preserve">，供应商须将本要求逐级传导至其上游（</t>
    </r>
    <r>
      <rPr>
        <b val="true"/>
        <sz val="10"/>
        <color rgb="FF1F2A30"/>
        <rFont val="Arial"/>
        <family val="0"/>
        <charset val="1"/>
      </rPr>
      <t xml:space="preserve">Tier-2/Tier-3</t>
    </r>
    <r>
      <rPr>
        <b val="true"/>
        <sz val="10"/>
        <color rgb="FF1F2A30"/>
        <rFont val="Noto Sans CJK SC"/>
        <family val="2"/>
      </rPr>
      <t xml:space="preserve">）并验证采纳。</t>
    </r>
  </si>
  <si>
    <t xml:space="preserve">   Cascade (requirement #34): the supplier must cascade these requirements upstream and verify adoption.</t>
  </si>
  <si>
    <r>
      <rPr>
        <b val="true"/>
        <sz val="11"/>
        <color rgb="FF002D6B"/>
        <rFont val="Noto Sans CJK SC"/>
        <family val="2"/>
      </rPr>
      <t xml:space="preserve">图例 </t>
    </r>
    <r>
      <rPr>
        <b val="true"/>
        <sz val="11"/>
        <color rgb="FF002D6B"/>
        <rFont val="Arial"/>
        <family val="0"/>
        <charset val="1"/>
      </rPr>
      <t xml:space="preserve">Legend</t>
    </r>
  </si>
  <si>
    <r>
      <rPr>
        <sz val="9"/>
        <color rgb="FF1F2A30"/>
        <rFont val="Noto Sans CJK SC"/>
        <family val="2"/>
      </rPr>
      <t xml:space="preserve">　• </t>
    </r>
    <r>
      <rPr>
        <sz val="9"/>
        <color rgb="FF1F2A30"/>
        <rFont val="Arial"/>
        <family val="0"/>
        <charset val="1"/>
      </rPr>
      <t xml:space="preserve">R — Requirement </t>
    </r>
    <r>
      <rPr>
        <sz val="9"/>
        <color rgb="FF1F2A30"/>
        <rFont val="Noto Sans CJK SC"/>
        <family val="2"/>
      </rPr>
      <t xml:space="preserve">硬性要求 —— 长期合作最低门槛（计为最低要求项）</t>
    </r>
  </si>
  <si>
    <r>
      <rPr>
        <sz val="9"/>
        <color rgb="FF1F2A30"/>
        <rFont val="Noto Sans CJK SC"/>
        <family val="2"/>
      </rPr>
      <t xml:space="preserve">　• </t>
    </r>
    <r>
      <rPr>
        <sz val="9"/>
        <color rgb="FF1F2A30"/>
        <rFont val="Arial"/>
        <family val="0"/>
        <charset val="1"/>
      </rPr>
      <t xml:space="preserve">E — Expectation </t>
    </r>
    <r>
      <rPr>
        <sz val="9"/>
        <color rgb="FF1F2A30"/>
        <rFont val="Noto Sans CJK SC"/>
        <family val="2"/>
      </rPr>
      <t xml:space="preserve">期望 —— 未来将转为强制</t>
    </r>
  </si>
  <si>
    <r>
      <rPr>
        <sz val="9"/>
        <color rgb="FF1F2A30"/>
        <rFont val="Noto Sans CJK SC"/>
        <family val="2"/>
      </rPr>
      <t xml:space="preserve">　• </t>
    </r>
    <r>
      <rPr>
        <sz val="9"/>
        <color rgb="FF1F2A30"/>
        <rFont val="Arial"/>
        <family val="0"/>
        <charset val="1"/>
      </rPr>
      <t xml:space="preserve">N — New 2025 </t>
    </r>
    <r>
      <rPr>
        <sz val="9"/>
        <color rgb="FF1F2A30"/>
        <rFont val="Noto Sans CJK SC"/>
        <family val="2"/>
      </rPr>
      <t xml:space="preserve">新增要求</t>
    </r>
  </si>
  <si>
    <r>
      <rPr>
        <sz val="9"/>
        <color rgb="FF1F2A30"/>
        <rFont val="Noto Sans CJK SC"/>
        <family val="2"/>
      </rPr>
      <t xml:space="preserve">　• 权重 </t>
    </r>
    <r>
      <rPr>
        <sz val="9"/>
        <color rgb="FF1F2A30"/>
        <rFont val="Arial"/>
        <family val="0"/>
        <charset val="1"/>
      </rPr>
      <t xml:space="preserve">1 / 3 — </t>
    </r>
    <r>
      <rPr>
        <sz val="9"/>
        <color rgb="FF1F2A30"/>
        <rFont val="Noto Sans CJK SC"/>
        <family val="2"/>
      </rPr>
      <t xml:space="preserve">计分权重；关键项（透明度</t>
    </r>
    <r>
      <rPr>
        <sz val="9"/>
        <color rgb="FF1F2A30"/>
        <rFont val="Arial"/>
        <family val="0"/>
        <charset val="1"/>
      </rPr>
      <t xml:space="preserve">·</t>
    </r>
    <r>
      <rPr>
        <sz val="9"/>
        <color rgb="FF1F2A30"/>
        <rFont val="Noto Sans CJK SC"/>
        <family val="2"/>
      </rPr>
      <t xml:space="preserve">冲突矿产</t>
    </r>
    <r>
      <rPr>
        <sz val="9"/>
        <color rgb="FF1F2A30"/>
        <rFont val="Arial"/>
        <family val="0"/>
        <charset val="1"/>
      </rPr>
      <t xml:space="preserve">·</t>
    </r>
    <r>
      <rPr>
        <sz val="9"/>
        <color rgb="FF1F2A30"/>
        <rFont val="Noto Sans CJK SC"/>
        <family val="2"/>
      </rPr>
      <t xml:space="preserve">治理</t>
    </r>
    <r>
      <rPr>
        <sz val="9"/>
        <color rgb="FF1F2A30"/>
        <rFont val="Arial"/>
        <family val="0"/>
        <charset val="1"/>
      </rPr>
      <t xml:space="preserve">·</t>
    </r>
    <r>
      <rPr>
        <sz val="9"/>
        <color rgb="FF1F2A30"/>
        <rFont val="Noto Sans CJK SC"/>
        <family val="2"/>
      </rPr>
      <t xml:space="preserve">安全）加权 </t>
    </r>
    <r>
      <rPr>
        <sz val="9"/>
        <color rgb="FF1F2A30"/>
        <rFont val="Arial"/>
        <family val="0"/>
        <charset val="1"/>
      </rPr>
      <t xml:space="preserve">3</t>
    </r>
  </si>
  <si>
    <r>
      <rPr>
        <sz val="9"/>
        <color rgb="FF1F2A30"/>
        <rFont val="Noto Sans CJK SC"/>
        <family val="2"/>
      </rPr>
      <t xml:space="preserve">　• 黄色单元格 — 供应商需填写的单元格（作答 </t>
    </r>
    <r>
      <rPr>
        <sz val="9"/>
        <color rgb="FF1F2A30"/>
        <rFont val="Arial"/>
        <family val="0"/>
        <charset val="1"/>
      </rPr>
      <t xml:space="preserve">/ </t>
    </r>
    <r>
      <rPr>
        <sz val="9"/>
        <color rgb="FF1F2A30"/>
        <rFont val="Noto Sans CJK SC"/>
        <family val="2"/>
      </rPr>
      <t xml:space="preserve">支持信息 </t>
    </r>
    <r>
      <rPr>
        <sz val="9"/>
        <color rgb="FF1F2A30"/>
        <rFont val="Arial"/>
        <family val="0"/>
        <charset val="1"/>
      </rPr>
      <t xml:space="preserve">/ </t>
    </r>
    <r>
      <rPr>
        <sz val="9"/>
        <color rgb="FF1F2A30"/>
        <rFont val="Noto Sans CJK SC"/>
        <family val="2"/>
      </rPr>
      <t xml:space="preserve">行动计划）</t>
    </r>
  </si>
  <si>
    <r>
      <rPr>
        <sz val="9"/>
        <color rgb="FF1F2A30"/>
        <rFont val="Noto Sans CJK SC"/>
        <family val="2"/>
      </rPr>
      <t xml:space="preserve">　• 来源 </t>
    </r>
    <r>
      <rPr>
        <sz val="9"/>
        <color rgb="FF1F2A30"/>
        <rFont val="Arial"/>
        <family val="0"/>
        <charset val="1"/>
      </rPr>
      <t xml:space="preserve">Source — </t>
    </r>
    <r>
      <rPr>
        <sz val="9"/>
        <color rgb="FF1F2A30"/>
        <rFont val="Noto Sans CJK SC"/>
        <family val="2"/>
      </rPr>
      <t xml:space="preserve">题目内容出处：基准</t>
    </r>
    <r>
      <rPr>
        <sz val="9"/>
        <color rgb="FF1F2A30"/>
        <rFont val="Arial"/>
        <family val="0"/>
        <charset val="1"/>
      </rPr>
      <t xml:space="preserve">=Polestar SSI</t>
    </r>
    <r>
      <rPr>
        <sz val="9"/>
        <color rgb="FF1F2A30"/>
        <rFont val="Noto Sans CJK SC"/>
        <family val="2"/>
      </rPr>
      <t xml:space="preserve">；</t>
    </r>
    <r>
      <rPr>
        <sz val="9"/>
        <color rgb="FF1F2A30"/>
        <rFont val="Arial"/>
        <family val="0"/>
        <charset val="1"/>
      </rPr>
      <t xml:space="preserve">Autoliv </t>
    </r>
    <r>
      <rPr>
        <sz val="9"/>
        <color rgb="FF1F2A30"/>
        <rFont val="Noto Sans CJK SC"/>
        <family val="2"/>
      </rPr>
      <t xml:space="preserve">采购要求 </t>
    </r>
    <r>
      <rPr>
        <sz val="9"/>
        <color rgb="FF1F2A30"/>
        <rFont val="Arial"/>
        <family val="0"/>
        <charset val="1"/>
      </rPr>
      <t xml:space="preserve">#n</t>
    </r>
    <r>
      <rPr>
        <sz val="9"/>
        <color rgb="FF1F2A30"/>
        <rFont val="Noto Sans CJK SC"/>
        <family val="2"/>
      </rPr>
      <t xml:space="preserve">；</t>
    </r>
    <r>
      <rPr>
        <sz val="9"/>
        <color rgb="FF1F2A30"/>
        <rFont val="Arial"/>
        <family val="0"/>
        <charset val="1"/>
      </rPr>
      <t xml:space="preserve">OEM </t>
    </r>
    <r>
      <rPr>
        <sz val="9"/>
        <color rgb="FF1F2A30"/>
        <rFont val="Noto Sans CJK SC"/>
        <family val="2"/>
      </rPr>
      <t xml:space="preserve">客户名</t>
    </r>
    <r>
      <rPr>
        <sz val="9"/>
        <color rgb="FF1F2A30"/>
        <rFont val="Arial"/>
        <family val="0"/>
        <charset val="1"/>
      </rPr>
      <t xml:space="preserve">=</t>
    </r>
    <r>
      <rPr>
        <sz val="9"/>
        <color rgb="FF1F2A30"/>
        <rFont val="Noto Sans CJK SC"/>
        <family val="2"/>
      </rPr>
      <t xml:space="preserve">该客户真实要求叠加</t>
    </r>
  </si>
  <si>
    <r>
      <rPr>
        <i val="true"/>
        <sz val="9"/>
        <color rgb="FF8A99A2"/>
        <rFont val="Noto Sans CJK SC"/>
        <family val="2"/>
      </rPr>
      <t xml:space="preserve">内容来源：以 </t>
    </r>
    <r>
      <rPr>
        <i val="true"/>
        <sz val="9"/>
        <color rgb="FF8A99A2"/>
        <rFont val="Arial"/>
        <family val="0"/>
        <charset val="1"/>
      </rPr>
      <t xml:space="preserve">Polestar SSI 112 </t>
    </r>
    <r>
      <rPr>
        <i val="true"/>
        <sz val="9"/>
        <color rgb="FF8A99A2"/>
        <rFont val="Noto Sans CJK SC"/>
        <family val="2"/>
      </rPr>
      <t xml:space="preserve">题为基准骨架，融合 </t>
    </r>
    <r>
      <rPr>
        <i val="true"/>
        <sz val="9"/>
        <color rgb="FF8A99A2"/>
        <rFont val="Arial"/>
        <family val="0"/>
        <charset val="1"/>
      </rPr>
      <t xml:space="preserve">Autoliv</t>
    </r>
    <r>
      <rPr>
        <i val="true"/>
        <sz val="9"/>
        <color rgb="FF8A99A2"/>
        <rFont val="Noto Sans CJK SC"/>
        <family val="2"/>
      </rPr>
      <t xml:space="preserve">《</t>
    </r>
    <r>
      <rPr>
        <i val="true"/>
        <sz val="9"/>
        <color rgb="FF8A99A2"/>
        <rFont val="Arial"/>
        <family val="0"/>
        <charset val="1"/>
      </rPr>
      <t xml:space="preserve">2025 Sustainable Sourcing Requirements</t>
    </r>
    <r>
      <rPr>
        <i val="true"/>
        <sz val="9"/>
        <color rgb="FF8A99A2"/>
        <rFont val="Noto Sans CJK SC"/>
        <family val="2"/>
      </rPr>
      <t xml:space="preserve">》</t>
    </r>
    <r>
      <rPr>
        <i val="true"/>
        <sz val="9"/>
        <color rgb="FF8A99A2"/>
        <rFont val="Arial"/>
        <family val="0"/>
        <charset val="1"/>
      </rPr>
      <t xml:space="preserve">37 </t>
    </r>
    <r>
      <rPr>
        <i val="true"/>
        <sz val="9"/>
        <color rgb="FF8A99A2"/>
        <rFont val="Noto Sans CJK SC"/>
        <family val="2"/>
      </rPr>
      <t xml:space="preserve">项，并叠加吉利</t>
    </r>
    <r>
      <rPr>
        <i val="true"/>
        <sz val="9"/>
        <color rgb="FF8A99A2"/>
        <rFont val="Arial"/>
        <family val="0"/>
        <charset val="1"/>
      </rPr>
      <t xml:space="preserve">/</t>
    </r>
    <r>
      <rPr>
        <i val="true"/>
        <sz val="9"/>
        <color rgb="FF8A99A2"/>
        <rFont val="Noto Sans CJK SC"/>
        <family val="2"/>
      </rPr>
      <t xml:space="preserve">长城</t>
    </r>
    <r>
      <rPr>
        <i val="true"/>
        <sz val="9"/>
        <color rgb="FF8A99A2"/>
        <rFont val="Arial"/>
        <family val="0"/>
        <charset val="1"/>
      </rPr>
      <t xml:space="preserve">/</t>
    </r>
    <r>
      <rPr>
        <i val="true"/>
        <sz val="9"/>
        <color rgb="FF8A99A2"/>
        <rFont val="Noto Sans CJK SC"/>
        <family val="2"/>
      </rPr>
      <t xml:space="preserve">长安</t>
    </r>
    <r>
      <rPr>
        <i val="true"/>
        <sz val="9"/>
        <color rgb="FF8A99A2"/>
        <rFont val="Arial"/>
        <family val="0"/>
        <charset val="1"/>
      </rPr>
      <t xml:space="preserve">/</t>
    </r>
    <r>
      <rPr>
        <i val="true"/>
        <sz val="9"/>
        <color rgb="FF8A99A2"/>
        <rFont val="Noto Sans CJK SC"/>
        <family val="2"/>
      </rPr>
      <t xml:space="preserve">小米</t>
    </r>
    <r>
      <rPr>
        <i val="true"/>
        <sz val="9"/>
        <color rgb="FF8A99A2"/>
        <rFont val="Arial"/>
        <family val="0"/>
        <charset val="1"/>
      </rPr>
      <t xml:space="preserve">/</t>
    </r>
    <r>
      <rPr>
        <i val="true"/>
        <sz val="9"/>
        <color rgb="FF8A99A2"/>
        <rFont val="Noto Sans CJK SC"/>
        <family val="2"/>
      </rPr>
      <t xml:space="preserve">蔚来</t>
    </r>
    <r>
      <rPr>
        <i val="true"/>
        <sz val="9"/>
        <color rgb="FF8A99A2"/>
        <rFont val="Arial"/>
        <family val="0"/>
        <charset val="1"/>
      </rPr>
      <t xml:space="preserve">/</t>
    </r>
    <r>
      <rPr>
        <i val="true"/>
        <sz val="9"/>
        <color rgb="FF8A99A2"/>
        <rFont val="Noto Sans CJK SC"/>
        <family val="2"/>
      </rPr>
      <t xml:space="preserve">奇瑞等 </t>
    </r>
    <r>
      <rPr>
        <i val="true"/>
        <sz val="9"/>
        <color rgb="FF8A99A2"/>
        <rFont val="Arial"/>
        <family val="0"/>
        <charset val="1"/>
      </rPr>
      <t xml:space="preserve">OEM </t>
    </r>
    <r>
      <rPr>
        <i val="true"/>
        <sz val="9"/>
        <color rgb="FF8A99A2"/>
        <rFont val="Noto Sans CJK SC"/>
        <family val="2"/>
      </rPr>
      <t xml:space="preserve">客户真实要求；新增『拯救更多生命</t>
    </r>
    <r>
      <rPr>
        <i val="true"/>
        <sz val="9"/>
        <color rgb="FF8A99A2"/>
        <rFont val="Arial"/>
        <family val="0"/>
        <charset val="1"/>
      </rPr>
      <t xml:space="preserve">·</t>
    </r>
    <r>
      <rPr>
        <i val="true"/>
        <sz val="9"/>
        <color rgb="FF8A99A2"/>
        <rFont val="Noto Sans CJK SC"/>
        <family val="2"/>
      </rPr>
      <t xml:space="preserve">道路安全』为 </t>
    </r>
    <r>
      <rPr>
        <i val="true"/>
        <sz val="9"/>
        <color rgb="FF8A99A2"/>
        <rFont val="Arial"/>
        <family val="0"/>
        <charset val="1"/>
      </rPr>
      <t xml:space="preserve">Autoliv </t>
    </r>
    <r>
      <rPr>
        <i val="true"/>
        <sz val="9"/>
        <color rgb="FF8A99A2"/>
        <rFont val="Noto Sans CJK SC"/>
        <family val="2"/>
      </rPr>
      <t xml:space="preserve">专属支柱。</t>
    </r>
  </si>
  <si>
    <r>
      <rPr>
        <i val="true"/>
        <sz val="8"/>
        <color rgb="FF8A99A2"/>
        <rFont val="Arial"/>
        <family val="0"/>
        <charset val="1"/>
      </rPr>
      <t xml:space="preserve">Demo — </t>
    </r>
    <r>
      <rPr>
        <i val="true"/>
        <sz val="8"/>
        <color rgb="FF8A99A2"/>
        <rFont val="Noto Sans CJK SC"/>
        <family val="2"/>
      </rPr>
      <t xml:space="preserve">以 </t>
    </r>
    <r>
      <rPr>
        <i val="true"/>
        <sz val="8"/>
        <color rgb="FF8A99A2"/>
        <rFont val="Arial"/>
        <family val="0"/>
        <charset val="1"/>
      </rPr>
      <t xml:space="preserve">Polestar </t>
    </r>
    <r>
      <rPr>
        <i val="true"/>
        <sz val="8"/>
        <color rgb="FF8A99A2"/>
        <rFont val="Noto Sans CJK SC"/>
        <family val="2"/>
      </rPr>
      <t xml:space="preserve">提供测试问卷为基准重铸为 </t>
    </r>
    <r>
      <rPr>
        <i val="true"/>
        <sz val="8"/>
        <color rgb="FF8A99A2"/>
        <rFont val="Arial"/>
        <family val="0"/>
        <charset val="1"/>
      </rPr>
      <t xml:space="preserve">Autoliv </t>
    </r>
    <r>
      <rPr>
        <i val="true"/>
        <sz val="8"/>
        <color rgb="FF8A99A2"/>
        <rFont val="Noto Sans CJK SC"/>
        <family val="2"/>
      </rPr>
      <t xml:space="preserve">视角；融合 </t>
    </r>
    <r>
      <rPr>
        <i val="true"/>
        <sz val="8"/>
        <color rgb="FF8A99A2"/>
        <rFont val="Arial"/>
        <family val="0"/>
        <charset val="1"/>
      </rPr>
      <t xml:space="preserve">Autoliv</t>
    </r>
    <r>
      <rPr>
        <i val="true"/>
        <sz val="8"/>
        <color rgb="FF8A99A2"/>
        <rFont val="Noto Sans CJK SC"/>
        <family val="2"/>
      </rPr>
      <t xml:space="preserve">《</t>
    </r>
    <r>
      <rPr>
        <i val="true"/>
        <sz val="8"/>
        <color rgb="FF8A99A2"/>
        <rFont val="Arial"/>
        <family val="0"/>
        <charset val="1"/>
      </rPr>
      <t xml:space="preserve">2025 Sustainable Sourcing Requirements</t>
    </r>
    <r>
      <rPr>
        <i val="true"/>
        <sz val="8"/>
        <color rgb="FF8A99A2"/>
        <rFont val="Noto Sans CJK SC"/>
        <family val="2"/>
      </rPr>
      <t xml:space="preserve">》</t>
    </r>
    <r>
      <rPr>
        <i val="true"/>
        <sz val="8"/>
        <color rgb="FF8A99A2"/>
        <rFont val="Arial"/>
        <family val="0"/>
        <charset val="1"/>
      </rPr>
      <t xml:space="preserve">37 </t>
    </r>
    <r>
      <rPr>
        <i val="true"/>
        <sz val="8"/>
        <color rgb="FF8A99A2"/>
        <rFont val="Noto Sans CJK SC"/>
        <family val="2"/>
      </rPr>
      <t xml:space="preserve">项与吉利</t>
    </r>
    <r>
      <rPr>
        <i val="true"/>
        <sz val="8"/>
        <color rgb="FF8A99A2"/>
        <rFont val="Arial"/>
        <family val="0"/>
        <charset val="1"/>
      </rPr>
      <t xml:space="preserve">/</t>
    </r>
    <r>
      <rPr>
        <i val="true"/>
        <sz val="8"/>
        <color rgb="FF8A99A2"/>
        <rFont val="Noto Sans CJK SC"/>
        <family val="2"/>
      </rPr>
      <t xml:space="preserve">长城</t>
    </r>
    <r>
      <rPr>
        <i val="true"/>
        <sz val="8"/>
        <color rgb="FF8A99A2"/>
        <rFont val="Arial"/>
        <family val="0"/>
        <charset val="1"/>
      </rPr>
      <t xml:space="preserve">/</t>
    </r>
    <r>
      <rPr>
        <i val="true"/>
        <sz val="8"/>
        <color rgb="FF8A99A2"/>
        <rFont val="Noto Sans CJK SC"/>
        <family val="2"/>
      </rPr>
      <t xml:space="preserve">长安</t>
    </r>
    <r>
      <rPr>
        <i val="true"/>
        <sz val="8"/>
        <color rgb="FF8A99A2"/>
        <rFont val="Arial"/>
        <family val="0"/>
        <charset val="1"/>
      </rPr>
      <t xml:space="preserve">/</t>
    </r>
    <r>
      <rPr>
        <i val="true"/>
        <sz val="8"/>
        <color rgb="FF8A99A2"/>
        <rFont val="Noto Sans CJK SC"/>
        <family val="2"/>
      </rPr>
      <t xml:space="preserve">小米</t>
    </r>
    <r>
      <rPr>
        <i val="true"/>
        <sz val="8"/>
        <color rgb="FF8A99A2"/>
        <rFont val="Arial"/>
        <family val="0"/>
        <charset val="1"/>
      </rPr>
      <t xml:space="preserve">/</t>
    </r>
    <r>
      <rPr>
        <i val="true"/>
        <sz val="8"/>
        <color rgb="FF8A99A2"/>
        <rFont val="Noto Sans CJK SC"/>
        <family val="2"/>
      </rPr>
      <t xml:space="preserve">蔚来</t>
    </r>
    <r>
      <rPr>
        <i val="true"/>
        <sz val="8"/>
        <color rgb="FF8A99A2"/>
        <rFont val="Arial"/>
        <family val="0"/>
        <charset val="1"/>
      </rPr>
      <t xml:space="preserve">/</t>
    </r>
    <r>
      <rPr>
        <i val="true"/>
        <sz val="8"/>
        <color rgb="FF8A99A2"/>
        <rFont val="Noto Sans CJK SC"/>
        <family val="2"/>
      </rPr>
      <t xml:space="preserve">奇瑞等客户公开要求；客户名及供应商名按需脱敏，仅限与 </t>
    </r>
    <r>
      <rPr>
        <i val="true"/>
        <sz val="8"/>
        <color rgb="FF8A99A2"/>
        <rFont val="Arial"/>
        <family val="0"/>
        <charset val="1"/>
      </rPr>
      <t xml:space="preserve">Autoliv </t>
    </r>
    <r>
      <rPr>
        <i val="true"/>
        <sz val="8"/>
        <color rgb="FF8A99A2"/>
        <rFont val="Noto Sans CJK SC"/>
        <family val="2"/>
      </rPr>
      <t xml:space="preserve">沟通使用。</t>
    </r>
  </si>
  <si>
    <r>
      <rPr>
        <b val="true"/>
        <sz val="14"/>
        <color rgb="FF002D6B"/>
        <rFont val="Noto Sans CJK SC"/>
        <family val="2"/>
      </rPr>
      <t xml:space="preserve">工厂基本信息汇总  </t>
    </r>
    <r>
      <rPr>
        <b val="true"/>
        <sz val="14"/>
        <color rgb="FF002D6B"/>
        <rFont val="Arial"/>
        <family val="0"/>
        <charset val="1"/>
      </rPr>
      <t xml:space="preserve">Factory Information Summary</t>
    </r>
  </si>
  <si>
    <r>
      <rPr>
        <i val="true"/>
        <sz val="8"/>
        <color rgb="FF8A99A2"/>
        <rFont val="Noto Sans CJK SC"/>
        <family val="2"/>
      </rPr>
      <t xml:space="preserve">『产品』指供货 </t>
    </r>
    <r>
      <rPr>
        <i val="true"/>
        <sz val="8"/>
        <color rgb="FF8A99A2"/>
        <rFont val="Arial"/>
        <family val="0"/>
        <charset val="1"/>
      </rPr>
      <t xml:space="preserve">Autoliv </t>
    </r>
    <r>
      <rPr>
        <i val="true"/>
        <sz val="8"/>
        <color rgb="FF8A99A2"/>
        <rFont val="Noto Sans CJK SC"/>
        <family val="2"/>
      </rPr>
      <t xml:space="preserve">的产品；『工厂』指生产该产品的工厂。黄色单元格为供应商填写项；右栏为示例格式。</t>
    </r>
  </si>
  <si>
    <r>
      <rPr>
        <b val="true"/>
        <sz val="9"/>
        <color rgb="FFFFFFFF"/>
        <rFont val="Noto Sans CJK SC"/>
        <family val="2"/>
      </rPr>
      <t xml:space="preserve">字段 </t>
    </r>
    <r>
      <rPr>
        <b val="true"/>
        <sz val="9"/>
        <color rgb="FFFFFFFF"/>
        <rFont val="Arial"/>
        <family val="0"/>
        <charset val="1"/>
      </rPr>
      <t xml:space="preserve">Field</t>
    </r>
  </si>
  <si>
    <r>
      <rPr>
        <b val="true"/>
        <sz val="9"/>
        <color rgb="FFFFFFFF"/>
        <rFont val="Noto Sans CJK SC"/>
        <family val="2"/>
      </rPr>
      <t xml:space="preserve">填写 </t>
    </r>
    <r>
      <rPr>
        <b val="true"/>
        <sz val="9"/>
        <color rgb="FFFFFFFF"/>
        <rFont val="Arial"/>
        <family val="0"/>
        <charset val="1"/>
      </rPr>
      <t xml:space="preserve">Fill in</t>
    </r>
    <r>
      <rPr>
        <b val="true"/>
        <sz val="9"/>
        <color rgb="FFFFFFFF"/>
        <rFont val="Noto Sans CJK SC"/>
        <family val="2"/>
      </rPr>
      <t xml:space="preserve">（黄色）</t>
    </r>
  </si>
  <si>
    <r>
      <rPr>
        <b val="true"/>
        <sz val="9"/>
        <color rgb="FFFFFFFF"/>
        <rFont val="Noto Sans CJK SC"/>
        <family val="2"/>
      </rPr>
      <t xml:space="preserve">示例 </t>
    </r>
    <r>
      <rPr>
        <b val="true"/>
        <sz val="9"/>
        <color rgb="FFFFFFFF"/>
        <rFont val="Arial"/>
        <family val="0"/>
        <charset val="1"/>
      </rPr>
      <t xml:space="preserve">Example format</t>
    </r>
  </si>
  <si>
    <r>
      <rPr>
        <b val="true"/>
        <sz val="11"/>
        <color rgb="FFFFFFFF"/>
        <rFont val="Noto Sans CJK SC"/>
        <family val="2"/>
      </rPr>
      <t xml:space="preserve">基本信息 </t>
    </r>
    <r>
      <rPr>
        <b val="true"/>
        <sz val="11"/>
        <color rgb="FFFFFFFF"/>
        <rFont val="Arial"/>
        <family val="0"/>
        <charset val="1"/>
      </rPr>
      <t xml:space="preserve">General</t>
    </r>
  </si>
  <si>
    <r>
      <rPr>
        <b val="true"/>
        <sz val="9"/>
        <color rgb="FF1F2A30"/>
        <rFont val="Noto Sans CJK SC"/>
        <family val="2"/>
      </rPr>
      <t xml:space="preserve">供应商代码 </t>
    </r>
    <r>
      <rPr>
        <b val="true"/>
        <sz val="9"/>
        <color rgb="FF1F2A30"/>
        <rFont val="Arial"/>
        <family val="0"/>
        <charset val="1"/>
      </rPr>
      <t xml:space="preserve">Supplier Code</t>
    </r>
    <r>
      <rPr>
        <b val="true"/>
        <sz val="9"/>
        <color rgb="FF1F2A30"/>
        <rFont val="Noto Sans CJK SC"/>
        <family val="2"/>
      </rPr>
      <t xml:space="preserve">（如有）</t>
    </r>
  </si>
  <si>
    <t xml:space="preserve">AEEK9</t>
  </si>
  <si>
    <r>
      <rPr>
        <b val="true"/>
        <sz val="9"/>
        <color rgb="FF1F2A30"/>
        <rFont val="Noto Sans CJK SC"/>
        <family val="2"/>
      </rPr>
      <t xml:space="preserve">集团英文名称 </t>
    </r>
    <r>
      <rPr>
        <b val="true"/>
        <sz val="9"/>
        <color rgb="FF1F2A30"/>
        <rFont val="Arial"/>
        <family val="0"/>
        <charset val="1"/>
      </rPr>
      <t xml:space="preserve">Headquarter name (EN)</t>
    </r>
  </si>
  <si>
    <t xml:space="preserve">(example) ACME Components AB</t>
  </si>
  <si>
    <r>
      <rPr>
        <b val="true"/>
        <sz val="9"/>
        <color rgb="FF1F2A30"/>
        <rFont val="Noto Sans CJK SC"/>
        <family val="2"/>
      </rPr>
      <t xml:space="preserve">集团英文地址 </t>
    </r>
    <r>
      <rPr>
        <b val="true"/>
        <sz val="9"/>
        <color rgb="FF1F2A30"/>
        <rFont val="Arial"/>
        <family val="0"/>
        <charset val="1"/>
      </rPr>
      <t xml:space="preserve">Headquarter address (EN)</t>
    </r>
  </si>
  <si>
    <t xml:space="preserve">Stockholm, Sweden</t>
  </si>
  <si>
    <r>
      <rPr>
        <b val="true"/>
        <sz val="9"/>
        <color rgb="FF1F2A30"/>
        <rFont val="Noto Sans CJK SC"/>
        <family val="2"/>
      </rPr>
      <t xml:space="preserve">集团联系人 姓名</t>
    </r>
    <r>
      <rPr>
        <b val="true"/>
        <sz val="9"/>
        <color rgb="FF1F2A30"/>
        <rFont val="Arial"/>
        <family val="0"/>
        <charset val="1"/>
      </rPr>
      <t xml:space="preserve">/</t>
    </r>
    <r>
      <rPr>
        <b val="true"/>
        <sz val="9"/>
        <color rgb="FF1F2A30"/>
        <rFont val="Noto Sans CJK SC"/>
        <family val="2"/>
      </rPr>
      <t xml:space="preserve">职务 </t>
    </r>
    <r>
      <rPr>
        <b val="true"/>
        <sz val="9"/>
        <color rgb="FF1F2A30"/>
        <rFont val="Arial"/>
        <family val="0"/>
        <charset val="1"/>
      </rPr>
      <t xml:space="preserve">Corporate contact / title</t>
    </r>
  </si>
  <si>
    <t xml:space="preserve">Jane Doe / Sustainability Mgr</t>
  </si>
  <si>
    <r>
      <rPr>
        <b val="true"/>
        <sz val="9"/>
        <color rgb="FF1F2A30"/>
        <rFont val="Noto Sans CJK SC"/>
        <family val="2"/>
      </rPr>
      <t xml:space="preserve">集团联系人 电话</t>
    </r>
    <r>
      <rPr>
        <b val="true"/>
        <sz val="9"/>
        <color rgb="FF1F2A30"/>
        <rFont val="Arial"/>
        <family val="0"/>
        <charset val="1"/>
      </rPr>
      <t xml:space="preserve">/</t>
    </r>
    <r>
      <rPr>
        <b val="true"/>
        <sz val="9"/>
        <color rgb="FF1F2A30"/>
        <rFont val="Noto Sans CJK SC"/>
        <family val="2"/>
      </rPr>
      <t xml:space="preserve">邮箱 </t>
    </r>
    <r>
      <rPr>
        <b val="true"/>
        <sz val="9"/>
        <color rgb="FF1F2A30"/>
        <rFont val="Arial"/>
        <family val="0"/>
        <charset val="1"/>
      </rPr>
      <t xml:space="preserve">Corporate phone / email</t>
    </r>
  </si>
  <si>
    <t xml:space="preserve">+46 … / jane@acme.com</t>
  </si>
  <si>
    <r>
      <rPr>
        <b val="true"/>
        <sz val="9"/>
        <color rgb="FF1F2A30"/>
        <rFont val="Noto Sans CJK SC"/>
        <family val="2"/>
      </rPr>
      <t xml:space="preserve">工厂英文名称 </t>
    </r>
    <r>
      <rPr>
        <b val="true"/>
        <sz val="9"/>
        <color rgb="FF1F2A30"/>
        <rFont val="Arial"/>
        <family val="0"/>
        <charset val="1"/>
      </rPr>
      <t xml:space="preserve">Factory name (EN)</t>
    </r>
  </si>
  <si>
    <t xml:space="preserve">ACME (Nanjing) Co., Ltd</t>
  </si>
  <si>
    <r>
      <rPr>
        <b val="true"/>
        <sz val="9"/>
        <color rgb="FF1F2A30"/>
        <rFont val="Noto Sans CJK SC"/>
        <family val="2"/>
      </rPr>
      <t xml:space="preserve">工厂中文名称 </t>
    </r>
    <r>
      <rPr>
        <b val="true"/>
        <sz val="9"/>
        <color rgb="FF1F2A30"/>
        <rFont val="Arial"/>
        <family val="0"/>
        <charset val="1"/>
      </rPr>
      <t xml:space="preserve">Factory name (CN)</t>
    </r>
  </si>
  <si>
    <t xml:space="preserve">南京艾可密有限公司</t>
  </si>
  <si>
    <r>
      <rPr>
        <b val="true"/>
        <sz val="9"/>
        <color rgb="FF1F2A30"/>
        <rFont val="Noto Sans CJK SC"/>
        <family val="2"/>
      </rPr>
      <t xml:space="preserve">工厂地址 </t>
    </r>
    <r>
      <rPr>
        <b val="true"/>
        <sz val="9"/>
        <color rgb="FF1F2A30"/>
        <rFont val="Arial"/>
        <family val="0"/>
        <charset val="1"/>
      </rPr>
      <t xml:space="preserve">Factory address</t>
    </r>
  </si>
  <si>
    <t xml:space="preserve">Nanjing, Jiangsu, China</t>
  </si>
  <si>
    <r>
      <rPr>
        <b val="true"/>
        <sz val="9"/>
        <color rgb="FF1F2A30"/>
        <rFont val="Noto Sans CJK SC"/>
        <family val="2"/>
      </rPr>
      <t xml:space="preserve">工厂联系人 姓名</t>
    </r>
    <r>
      <rPr>
        <b val="true"/>
        <sz val="9"/>
        <color rgb="FF1F2A30"/>
        <rFont val="Arial"/>
        <family val="0"/>
        <charset val="1"/>
      </rPr>
      <t xml:space="preserve">/</t>
    </r>
    <r>
      <rPr>
        <b val="true"/>
        <sz val="9"/>
        <color rgb="FF1F2A30"/>
        <rFont val="Noto Sans CJK SC"/>
        <family val="2"/>
      </rPr>
      <t xml:space="preserve">职务 </t>
    </r>
    <r>
      <rPr>
        <b val="true"/>
        <sz val="9"/>
        <color rgb="FF1F2A30"/>
        <rFont val="Arial"/>
        <family val="0"/>
        <charset val="1"/>
      </rPr>
      <t xml:space="preserve">Factory contact / title</t>
    </r>
  </si>
  <si>
    <t xml:space="preserve">Li Ming / SHE Manager</t>
  </si>
  <si>
    <r>
      <rPr>
        <b val="true"/>
        <sz val="9"/>
        <color rgb="FF1F2A30"/>
        <rFont val="Noto Sans CJK SC"/>
        <family val="2"/>
      </rPr>
      <t xml:space="preserve">工厂联系人 电话</t>
    </r>
    <r>
      <rPr>
        <b val="true"/>
        <sz val="9"/>
        <color rgb="FF1F2A30"/>
        <rFont val="Arial"/>
        <family val="0"/>
        <charset val="1"/>
      </rPr>
      <t xml:space="preserve">/</t>
    </r>
    <r>
      <rPr>
        <b val="true"/>
        <sz val="9"/>
        <color rgb="FF1F2A30"/>
        <rFont val="Noto Sans CJK SC"/>
        <family val="2"/>
      </rPr>
      <t xml:space="preserve">邮箱 </t>
    </r>
    <r>
      <rPr>
        <b val="true"/>
        <sz val="9"/>
        <color rgb="FF1F2A30"/>
        <rFont val="Arial"/>
        <family val="0"/>
        <charset val="1"/>
      </rPr>
      <t xml:space="preserve">Factory phone / email</t>
    </r>
  </si>
  <si>
    <t xml:space="preserve">+86 … / li@acme.com</t>
  </si>
  <si>
    <r>
      <rPr>
        <b val="true"/>
        <sz val="11"/>
        <color rgb="FFFFFFFF"/>
        <rFont val="Noto Sans CJK SC"/>
        <family val="2"/>
      </rPr>
      <t xml:space="preserve">经营信息 </t>
    </r>
    <r>
      <rPr>
        <b val="true"/>
        <sz val="11"/>
        <color rgb="FFFFFFFF"/>
        <rFont val="Arial"/>
        <family val="0"/>
        <charset val="1"/>
      </rPr>
      <t xml:space="preserve">Business</t>
    </r>
  </si>
  <si>
    <r>
      <rPr>
        <b val="true"/>
        <sz val="9"/>
        <color rgb="FF1F2A30"/>
        <rFont val="Noto Sans CJK SC"/>
        <family val="2"/>
      </rPr>
      <t xml:space="preserve">与 </t>
    </r>
    <r>
      <rPr>
        <b val="true"/>
        <sz val="9"/>
        <color rgb="FF1F2A30"/>
        <rFont val="Arial"/>
        <family val="0"/>
        <charset val="1"/>
      </rPr>
      <t xml:space="preserve">Autoliv </t>
    </r>
    <r>
      <rPr>
        <b val="true"/>
        <sz val="9"/>
        <color rgb="FF1F2A30"/>
        <rFont val="Noto Sans CJK SC"/>
        <family val="2"/>
      </rPr>
      <t xml:space="preserve">合作起始年 </t>
    </r>
    <r>
      <rPr>
        <b val="true"/>
        <sz val="9"/>
        <color rgb="FF1F2A30"/>
        <rFont val="Arial"/>
        <family val="0"/>
        <charset val="1"/>
      </rPr>
      <t xml:space="preserve">Year started with Autoliv</t>
    </r>
  </si>
  <si>
    <t xml:space="preserve">2019</t>
  </si>
  <si>
    <r>
      <rPr>
        <b val="true"/>
        <sz val="9"/>
        <color rgb="FF1F2A30"/>
        <rFont val="Noto Sans CJK SC"/>
        <family val="2"/>
      </rPr>
      <t xml:space="preserve">供货 </t>
    </r>
    <r>
      <rPr>
        <b val="true"/>
        <sz val="9"/>
        <color rgb="FF1F2A30"/>
        <rFont val="Arial"/>
        <family val="0"/>
        <charset val="1"/>
      </rPr>
      <t xml:space="preserve">Autoliv </t>
    </r>
    <r>
      <rPr>
        <b val="true"/>
        <sz val="9"/>
        <color rgb="FF1F2A30"/>
        <rFont val="Noto Sans CJK SC"/>
        <family val="2"/>
      </rPr>
      <t xml:space="preserve">订单额（</t>
    </r>
    <r>
      <rPr>
        <b val="true"/>
        <sz val="9"/>
        <color rgb="FF1F2A30"/>
        <rFont val="Arial"/>
        <family val="0"/>
        <charset val="1"/>
      </rPr>
      <t xml:space="preserve">USD</t>
    </r>
    <r>
      <rPr>
        <b val="true"/>
        <sz val="9"/>
        <color rgb="FF1F2A30"/>
        <rFont val="Noto Sans CJK SC"/>
        <family val="2"/>
      </rPr>
      <t xml:space="preserve">）</t>
    </r>
    <r>
      <rPr>
        <b val="true"/>
        <sz val="9"/>
        <color rgb="FF1F2A30"/>
        <rFont val="Arial"/>
        <family val="0"/>
        <charset val="1"/>
      </rPr>
      <t xml:space="preserve">Sales of Autoliv orders</t>
    </r>
  </si>
  <si>
    <t xml:space="preserve">2.2M</t>
  </si>
  <si>
    <r>
      <rPr>
        <b val="true"/>
        <sz val="9"/>
        <color rgb="FF1F2A30"/>
        <rFont val="Noto Sans CJK SC"/>
        <family val="2"/>
      </rPr>
      <t xml:space="preserve">供货 </t>
    </r>
    <r>
      <rPr>
        <b val="true"/>
        <sz val="9"/>
        <color rgb="FF1F2A30"/>
        <rFont val="Arial"/>
        <family val="0"/>
        <charset val="1"/>
      </rPr>
      <t xml:space="preserve">Autoliv </t>
    </r>
    <r>
      <rPr>
        <b val="true"/>
        <sz val="9"/>
        <color rgb="FF1F2A30"/>
        <rFont val="Noto Sans CJK SC"/>
        <family val="2"/>
      </rPr>
      <t xml:space="preserve">的产品 </t>
    </r>
    <r>
      <rPr>
        <b val="true"/>
        <sz val="9"/>
        <color rgb="FF1F2A30"/>
        <rFont val="Arial"/>
        <family val="0"/>
        <charset val="1"/>
      </rPr>
      <t xml:space="preserve">Product(s) to Autoliv</t>
    </r>
  </si>
  <si>
    <t xml:space="preserve">Seat belt webbing</t>
  </si>
  <si>
    <r>
      <rPr>
        <b val="true"/>
        <sz val="9"/>
        <color rgb="FF1F2A30"/>
        <rFont val="Noto Sans CJK SC"/>
        <family val="2"/>
      </rPr>
      <t xml:space="preserve">供货车型 </t>
    </r>
    <r>
      <rPr>
        <b val="true"/>
        <sz val="9"/>
        <color rgb="FF1F2A30"/>
        <rFont val="Arial"/>
        <family val="0"/>
        <charset val="1"/>
      </rPr>
      <t xml:space="preserve">/ </t>
    </r>
    <r>
      <rPr>
        <b val="true"/>
        <sz val="9"/>
        <color rgb="FF1F2A30"/>
        <rFont val="Noto Sans CJK SC"/>
        <family val="2"/>
      </rPr>
      <t xml:space="preserve">零件号 </t>
    </r>
    <r>
      <rPr>
        <b val="true"/>
        <sz val="9"/>
        <color rgb="FF1F2A30"/>
        <rFont val="Arial"/>
        <family val="0"/>
        <charset val="1"/>
      </rPr>
      <t xml:space="preserve">Models / part numbers</t>
    </r>
  </si>
  <si>
    <t xml:space="preserve">P514 / 12345-AB</t>
  </si>
  <si>
    <r>
      <rPr>
        <b val="true"/>
        <sz val="9"/>
        <color rgb="FF1F2A30"/>
        <rFont val="Noto Sans CJK SC"/>
        <family val="2"/>
      </rPr>
      <t xml:space="preserve">企业性质 </t>
    </r>
    <r>
      <rPr>
        <b val="true"/>
        <sz val="9"/>
        <color rgb="FF1F2A30"/>
        <rFont val="Arial"/>
        <family val="0"/>
        <charset val="1"/>
      </rPr>
      <t xml:space="preserve">Enterprise type</t>
    </r>
    <r>
      <rPr>
        <b val="true"/>
        <sz val="9"/>
        <color rgb="FF1F2A30"/>
        <rFont val="Noto Sans CJK SC"/>
        <family val="2"/>
      </rPr>
      <t xml:space="preserve">（国营</t>
    </r>
    <r>
      <rPr>
        <b val="true"/>
        <sz val="9"/>
        <color rgb="FF1F2A30"/>
        <rFont val="Arial"/>
        <family val="0"/>
        <charset val="1"/>
      </rPr>
      <t xml:space="preserve">/</t>
    </r>
    <r>
      <rPr>
        <b val="true"/>
        <sz val="9"/>
        <color rgb="FF1F2A30"/>
        <rFont val="Noto Sans CJK SC"/>
        <family val="2"/>
      </rPr>
      <t xml:space="preserve">民企</t>
    </r>
    <r>
      <rPr>
        <b val="true"/>
        <sz val="9"/>
        <color rgb="FF1F2A30"/>
        <rFont val="Arial"/>
        <family val="0"/>
        <charset val="1"/>
      </rPr>
      <t xml:space="preserve">/</t>
    </r>
    <r>
      <rPr>
        <b val="true"/>
        <sz val="9"/>
        <color rgb="FF1F2A30"/>
        <rFont val="Noto Sans CJK SC"/>
        <family val="2"/>
      </rPr>
      <t xml:space="preserve">外资）</t>
    </r>
  </si>
  <si>
    <r>
      <rPr>
        <i val="true"/>
        <sz val="8"/>
        <color rgb="FF8A99A2"/>
        <rFont val="Arial"/>
        <family val="0"/>
        <charset val="1"/>
      </rPr>
      <t xml:space="preserve">Foreign / </t>
    </r>
    <r>
      <rPr>
        <i val="true"/>
        <sz val="8"/>
        <color rgb="FF8A99A2"/>
        <rFont val="Noto Sans CJK SC"/>
        <family val="2"/>
      </rPr>
      <t xml:space="preserve">外资</t>
    </r>
  </si>
  <si>
    <r>
      <rPr>
        <b val="true"/>
        <sz val="9"/>
        <color rgb="FF1F2A30"/>
        <rFont val="Noto Sans CJK SC"/>
        <family val="2"/>
      </rPr>
      <t xml:space="preserve">其他主要客户 </t>
    </r>
    <r>
      <rPr>
        <b val="true"/>
        <sz val="9"/>
        <color rgb="FF1F2A30"/>
        <rFont val="Arial"/>
        <family val="0"/>
        <charset val="1"/>
      </rPr>
      <t xml:space="preserve">Other major customers</t>
    </r>
  </si>
  <si>
    <t xml:space="preserve">…</t>
  </si>
  <si>
    <r>
      <rPr>
        <b val="true"/>
        <sz val="11"/>
        <color rgb="FFFFFFFF"/>
        <rFont val="Noto Sans CJK SC"/>
        <family val="2"/>
      </rPr>
      <t xml:space="preserve">人事工资 </t>
    </r>
    <r>
      <rPr>
        <b val="true"/>
        <sz val="11"/>
        <color rgb="FFFFFFFF"/>
        <rFont val="Arial"/>
        <family val="0"/>
        <charset val="1"/>
      </rPr>
      <t xml:space="preserve">HR &amp; Pay</t>
    </r>
  </si>
  <si>
    <r>
      <rPr>
        <b val="true"/>
        <sz val="9"/>
        <color rgb="FF1F2A30"/>
        <rFont val="Noto Sans CJK SC"/>
        <family val="2"/>
      </rPr>
      <t xml:space="preserve">员工总数（含派遣）</t>
    </r>
    <r>
      <rPr>
        <b val="true"/>
        <sz val="9"/>
        <color rgb="FF1F2A30"/>
        <rFont val="Arial"/>
        <family val="0"/>
        <charset val="1"/>
      </rPr>
      <t xml:space="preserve">Total employees (incl. agency)</t>
    </r>
  </si>
  <si>
    <t xml:space="preserve">1309</t>
  </si>
  <si>
    <r>
      <rPr>
        <b val="true"/>
        <sz val="9"/>
        <color rgb="FF1F2A30"/>
        <rFont val="Noto Sans CJK SC"/>
        <family val="2"/>
      </rPr>
      <t xml:space="preserve">女员工比例 </t>
    </r>
    <r>
      <rPr>
        <b val="true"/>
        <sz val="9"/>
        <color rgb="FF1F2A30"/>
        <rFont val="Arial"/>
        <family val="0"/>
        <charset val="1"/>
      </rPr>
      <t xml:space="preserve">Female %</t>
    </r>
  </si>
  <si>
    <t xml:space="preserve">53.6%</t>
  </si>
  <si>
    <r>
      <rPr>
        <b val="true"/>
        <sz val="9"/>
        <color rgb="FF1F2A30"/>
        <rFont val="Noto Sans CJK SC"/>
        <family val="2"/>
      </rPr>
      <t xml:space="preserve">未成年工总数 </t>
    </r>
    <r>
      <rPr>
        <b val="true"/>
        <sz val="9"/>
        <color rgb="FF1F2A30"/>
        <rFont val="Arial"/>
        <family val="0"/>
        <charset val="1"/>
      </rPr>
      <t xml:space="preserve">Juvenile workers</t>
    </r>
  </si>
  <si>
    <t xml:space="preserve">0</t>
  </si>
  <si>
    <r>
      <rPr>
        <b val="true"/>
        <sz val="9"/>
        <color rgb="FF1F2A30"/>
        <rFont val="Noto Sans CJK SC"/>
        <family val="2"/>
      </rPr>
      <t xml:space="preserve">生产一线班次与工时 </t>
    </r>
    <r>
      <rPr>
        <b val="true"/>
        <sz val="9"/>
        <color rgb="FF1F2A30"/>
        <rFont val="Arial"/>
        <family val="0"/>
        <charset val="1"/>
      </rPr>
      <t xml:space="preserve">Shifts / hours</t>
    </r>
  </si>
  <si>
    <t xml:space="preserve">2 shift / 5 days</t>
  </si>
  <si>
    <r>
      <rPr>
        <b val="true"/>
        <sz val="9"/>
        <color rgb="FF1F2A30"/>
        <rFont val="Noto Sans CJK SC"/>
        <family val="2"/>
      </rPr>
      <t xml:space="preserve">当地法定最低工资 </t>
    </r>
    <r>
      <rPr>
        <b val="true"/>
        <sz val="9"/>
        <color rgb="FF1F2A30"/>
        <rFont val="Arial"/>
        <family val="0"/>
        <charset val="1"/>
      </rPr>
      <t xml:space="preserve">Local minimum wage</t>
    </r>
  </si>
  <si>
    <t xml:space="preserve">2280 CNY</t>
  </si>
  <si>
    <r>
      <rPr>
        <b val="true"/>
        <sz val="11"/>
        <color rgb="FFFFFFFF"/>
        <rFont val="Noto Sans CJK SC"/>
        <family val="2"/>
      </rPr>
      <t xml:space="preserve">生产与能源 </t>
    </r>
    <r>
      <rPr>
        <b val="true"/>
        <sz val="11"/>
        <color rgb="FFFFFFFF"/>
        <rFont val="Arial"/>
        <family val="0"/>
        <charset val="1"/>
      </rPr>
      <t xml:space="preserve">Production &amp; Energy</t>
    </r>
  </si>
  <si>
    <r>
      <rPr>
        <b val="true"/>
        <sz val="9"/>
        <color rgb="FF1F2A30"/>
        <rFont val="Noto Sans CJK SC"/>
        <family val="2"/>
      </rPr>
      <t xml:space="preserve">生产工序 </t>
    </r>
    <r>
      <rPr>
        <b val="true"/>
        <sz val="9"/>
        <color rgb="FF1F2A30"/>
        <rFont val="Arial"/>
        <family val="0"/>
        <charset val="1"/>
      </rPr>
      <t xml:space="preserve">Manufacturing process</t>
    </r>
  </si>
  <si>
    <t xml:space="preserve">Assembly</t>
  </si>
  <si>
    <r>
      <rPr>
        <b val="true"/>
        <sz val="9"/>
        <color rgb="FF1F2A30"/>
        <rFont val="Noto Sans CJK SC"/>
        <family val="2"/>
      </rPr>
      <t xml:space="preserve">月产能 </t>
    </r>
    <r>
      <rPr>
        <b val="true"/>
        <sz val="9"/>
        <color rgb="FF1F2A30"/>
        <rFont val="Arial"/>
        <family val="0"/>
        <charset val="1"/>
      </rPr>
      <t xml:space="preserve">/ </t>
    </r>
    <r>
      <rPr>
        <b val="true"/>
        <sz val="9"/>
        <color rgb="FF1F2A30"/>
        <rFont val="Noto Sans CJK SC"/>
        <family val="2"/>
      </rPr>
      <t xml:space="preserve">年产量 </t>
    </r>
    <r>
      <rPr>
        <b val="true"/>
        <sz val="9"/>
        <color rgb="FF1F2A30"/>
        <rFont val="Arial"/>
        <family val="0"/>
        <charset val="1"/>
      </rPr>
      <t xml:space="preserve">Monthly capacity / annual output</t>
    </r>
  </si>
  <si>
    <t xml:space="preserve">5,000,000 / 52,850,000</t>
  </si>
  <si>
    <r>
      <rPr>
        <b val="true"/>
        <sz val="9"/>
        <color rgb="FF1F2A30"/>
        <rFont val="Noto Sans CJK SC"/>
        <family val="2"/>
      </rPr>
      <t xml:space="preserve">外购电量（</t>
    </r>
    <r>
      <rPr>
        <b val="true"/>
        <sz val="9"/>
        <color rgb="FF1F2A30"/>
        <rFont val="Arial"/>
        <family val="0"/>
        <charset val="1"/>
      </rPr>
      <t xml:space="preserve">kWh</t>
    </r>
    <r>
      <rPr>
        <b val="true"/>
        <sz val="9"/>
        <color rgb="FF1F2A30"/>
        <rFont val="Noto Sans CJK SC"/>
        <family val="2"/>
      </rPr>
      <t xml:space="preserve">）</t>
    </r>
    <r>
      <rPr>
        <b val="true"/>
        <sz val="9"/>
        <color rgb="FF1F2A30"/>
        <rFont val="Arial"/>
        <family val="0"/>
        <charset val="1"/>
      </rPr>
      <t xml:space="preserve">Electricity purchased</t>
    </r>
  </si>
  <si>
    <t xml:space="preserve">6,500,000</t>
  </si>
  <si>
    <r>
      <rPr>
        <b val="true"/>
        <sz val="9"/>
        <color rgb="FF1F2A30"/>
        <rFont val="Noto Sans CJK SC"/>
        <family val="2"/>
      </rPr>
      <t xml:space="preserve">自发可再生电量（</t>
    </r>
    <r>
      <rPr>
        <b val="true"/>
        <sz val="9"/>
        <color rgb="FF1F2A30"/>
        <rFont val="Arial"/>
        <family val="0"/>
        <charset val="1"/>
      </rPr>
      <t xml:space="preserve">kWh</t>
    </r>
    <r>
      <rPr>
        <b val="true"/>
        <sz val="9"/>
        <color rgb="FF1F2A30"/>
        <rFont val="Noto Sans CJK SC"/>
        <family val="2"/>
      </rPr>
      <t xml:space="preserve">）</t>
    </r>
    <r>
      <rPr>
        <b val="true"/>
        <sz val="9"/>
        <color rgb="FF1F2A30"/>
        <rFont val="Arial"/>
        <family val="0"/>
        <charset val="1"/>
      </rPr>
      <t xml:space="preserve">Onsite renewable elec.</t>
    </r>
  </si>
  <si>
    <r>
      <rPr>
        <b val="true"/>
        <sz val="9"/>
        <color rgb="FF1F2A30"/>
        <rFont val="Noto Sans CJK SC"/>
        <family val="2"/>
      </rPr>
      <t xml:space="preserve">外购绿电量（</t>
    </r>
    <r>
      <rPr>
        <b val="true"/>
        <sz val="9"/>
        <color rgb="FF1F2A30"/>
        <rFont val="Arial"/>
        <family val="0"/>
        <charset val="1"/>
      </rPr>
      <t xml:space="preserve">kWh</t>
    </r>
    <r>
      <rPr>
        <b val="true"/>
        <sz val="9"/>
        <color rgb="FF1F2A30"/>
        <rFont val="Noto Sans CJK SC"/>
        <family val="2"/>
      </rPr>
      <t xml:space="preserve">）</t>
    </r>
    <r>
      <rPr>
        <b val="true"/>
        <sz val="9"/>
        <color rgb="FF1F2A30"/>
        <rFont val="Arial"/>
        <family val="0"/>
        <charset val="1"/>
      </rPr>
      <t xml:space="preserve">Purchased renewable elec.</t>
    </r>
  </si>
  <si>
    <r>
      <rPr>
        <b val="true"/>
        <sz val="9"/>
        <color rgb="FF1F2A30"/>
        <rFont val="Noto Sans CJK SC"/>
        <family val="2"/>
      </rPr>
      <t xml:space="preserve">煤</t>
    </r>
    <r>
      <rPr>
        <b val="true"/>
        <sz val="9"/>
        <color rgb="FF1F2A30"/>
        <rFont val="Arial"/>
        <family val="0"/>
        <charset val="1"/>
      </rPr>
      <t xml:space="preserve">/</t>
    </r>
    <r>
      <rPr>
        <b val="true"/>
        <sz val="9"/>
        <color rgb="FF1F2A30"/>
        <rFont val="Noto Sans CJK SC"/>
        <family val="2"/>
      </rPr>
      <t xml:space="preserve">天然气</t>
    </r>
    <r>
      <rPr>
        <b val="true"/>
        <sz val="9"/>
        <color rgb="FF1F2A30"/>
        <rFont val="Arial"/>
        <family val="0"/>
        <charset val="1"/>
      </rPr>
      <t xml:space="preserve">/</t>
    </r>
    <r>
      <rPr>
        <b val="true"/>
        <sz val="9"/>
        <color rgb="FF1F2A30"/>
        <rFont val="Noto Sans CJK SC"/>
        <family val="2"/>
      </rPr>
      <t xml:space="preserve">燃料油</t>
    </r>
    <r>
      <rPr>
        <b val="true"/>
        <sz val="9"/>
        <color rgb="FF1F2A30"/>
        <rFont val="Arial"/>
        <family val="0"/>
        <charset val="1"/>
      </rPr>
      <t xml:space="preserve">/</t>
    </r>
    <r>
      <rPr>
        <b val="true"/>
        <sz val="9"/>
        <color rgb="FF1F2A30"/>
        <rFont val="Noto Sans CJK SC"/>
        <family val="2"/>
      </rPr>
      <t xml:space="preserve">蒸汽</t>
    </r>
    <r>
      <rPr>
        <b val="true"/>
        <sz val="9"/>
        <color rgb="FF1F2A30"/>
        <rFont val="Arial"/>
        <family val="0"/>
        <charset val="1"/>
      </rPr>
      <t xml:space="preserve">/</t>
    </r>
    <r>
      <rPr>
        <b val="true"/>
        <sz val="9"/>
        <color rgb="FF1F2A30"/>
        <rFont val="Noto Sans CJK SC"/>
        <family val="2"/>
      </rPr>
      <t xml:space="preserve">压缩空气 消耗量 </t>
    </r>
    <r>
      <rPr>
        <b val="true"/>
        <sz val="9"/>
        <color rgb="FF1F2A30"/>
        <rFont val="Arial"/>
        <family val="0"/>
        <charset val="1"/>
      </rPr>
      <t xml:space="preserve">Other energy</t>
    </r>
  </si>
  <si>
    <t xml:space="preserve">0 / 0 / 0 / 0 / 0</t>
  </si>
  <si>
    <r>
      <rPr>
        <b val="true"/>
        <sz val="11"/>
        <color rgb="FFFFFFFF"/>
        <rFont val="Noto Sans CJK SC"/>
        <family val="2"/>
      </rPr>
      <t xml:space="preserve">其他信息 </t>
    </r>
    <r>
      <rPr>
        <b val="true"/>
        <sz val="11"/>
        <color rgb="FFFFFFFF"/>
        <rFont val="Arial"/>
        <family val="0"/>
        <charset val="1"/>
      </rPr>
      <t xml:space="preserve">Other</t>
    </r>
  </si>
  <si>
    <r>
      <rPr>
        <b val="true"/>
        <sz val="9"/>
        <color rgb="FF1F2A30"/>
        <rFont val="Noto Sans CJK SC"/>
        <family val="2"/>
      </rPr>
      <t xml:space="preserve">客户 </t>
    </r>
    <r>
      <rPr>
        <b val="true"/>
        <sz val="9"/>
        <color rgb="FF1F2A30"/>
        <rFont val="Arial"/>
        <family val="0"/>
        <charset val="1"/>
      </rPr>
      <t xml:space="preserve">CSR/</t>
    </r>
    <r>
      <rPr>
        <b val="true"/>
        <sz val="9"/>
        <color rgb="FF1F2A30"/>
        <rFont val="Noto Sans CJK SC"/>
        <family val="2"/>
      </rPr>
      <t xml:space="preserve">环境</t>
    </r>
    <r>
      <rPr>
        <b val="true"/>
        <sz val="9"/>
        <color rgb="FF1F2A30"/>
        <rFont val="Arial"/>
        <family val="0"/>
        <charset val="1"/>
      </rPr>
      <t xml:space="preserve">/</t>
    </r>
    <r>
      <rPr>
        <b val="true"/>
        <sz val="9"/>
        <color rgb="FF1F2A30"/>
        <rFont val="Noto Sans CJK SC"/>
        <family val="2"/>
      </rPr>
      <t xml:space="preserve">能源审核记录 </t>
    </r>
    <r>
      <rPr>
        <b val="true"/>
        <sz val="9"/>
        <color rgb="FF1F2A30"/>
        <rFont val="Arial"/>
        <family val="0"/>
        <charset val="1"/>
      </rPr>
      <t xml:space="preserve">Client audits</t>
    </r>
    <r>
      <rPr>
        <b val="true"/>
        <sz val="9"/>
        <color rgb="FF1F2A30"/>
        <rFont val="Noto Sans CJK SC"/>
        <family val="2"/>
      </rPr>
      <t xml:space="preserve">（客户名</t>
    </r>
    <r>
      <rPr>
        <b val="true"/>
        <sz val="9"/>
        <color rgb="FF1F2A30"/>
        <rFont val="Arial"/>
        <family val="0"/>
        <charset val="1"/>
      </rPr>
      <t xml:space="preserve">·</t>
    </r>
    <r>
      <rPr>
        <b val="true"/>
        <sz val="9"/>
        <color rgb="FF1F2A30"/>
        <rFont val="Noto Sans CJK SC"/>
        <family val="2"/>
      </rPr>
      <t xml:space="preserve">年份</t>
    </r>
    <r>
      <rPr>
        <b val="true"/>
        <sz val="9"/>
        <color rgb="FF1F2A30"/>
        <rFont val="Arial"/>
        <family val="0"/>
        <charset val="1"/>
      </rPr>
      <t xml:space="preserve">·</t>
    </r>
    <r>
      <rPr>
        <b val="true"/>
        <sz val="9"/>
        <color rgb="FF1F2A30"/>
        <rFont val="Noto Sans CJK SC"/>
        <family val="2"/>
      </rPr>
      <t xml:space="preserve">产线）</t>
    </r>
  </si>
  <si>
    <t xml:space="preserve">SGS ISO14001 ext. audit 2022</t>
  </si>
  <si>
    <r>
      <rPr>
        <b val="true"/>
        <sz val="9"/>
        <color rgb="FF1F2A30"/>
        <rFont val="Noto Sans CJK SC"/>
        <family val="2"/>
      </rPr>
      <t xml:space="preserve">供货 </t>
    </r>
    <r>
      <rPr>
        <b val="true"/>
        <sz val="9"/>
        <color rgb="FF1F2A30"/>
        <rFont val="Arial"/>
        <family val="0"/>
        <charset val="1"/>
      </rPr>
      <t xml:space="preserve">Autoliv </t>
    </r>
    <r>
      <rPr>
        <b val="true"/>
        <sz val="9"/>
        <color rgb="FF1F2A30"/>
        <rFont val="Noto Sans CJK SC"/>
        <family val="2"/>
      </rPr>
      <t xml:space="preserve">产品主要原材料供应商 </t>
    </r>
    <r>
      <rPr>
        <b val="true"/>
        <sz val="9"/>
        <color rgb="FF1F2A30"/>
        <rFont val="Arial"/>
        <family val="0"/>
        <charset val="1"/>
      </rPr>
      <t xml:space="preserve">Tier 1–4</t>
    </r>
    <r>
      <rPr>
        <b val="true"/>
        <sz val="9"/>
        <color rgb="FF1F2A30"/>
        <rFont val="Noto Sans CJK SC"/>
        <family val="2"/>
      </rPr>
      <t xml:space="preserve">（名称</t>
    </r>
    <r>
      <rPr>
        <b val="true"/>
        <sz val="9"/>
        <color rgb="FF1F2A30"/>
        <rFont val="Arial"/>
        <family val="0"/>
        <charset val="1"/>
      </rPr>
      <t xml:space="preserve">·</t>
    </r>
    <r>
      <rPr>
        <b val="true"/>
        <sz val="9"/>
        <color rgb="FF1F2A30"/>
        <rFont val="Noto Sans CJK SC"/>
        <family val="2"/>
      </rPr>
      <t xml:space="preserve">地址）</t>
    </r>
  </si>
  <si>
    <r>
      <rPr>
        <b val="true"/>
        <sz val="13"/>
        <color rgb="FF002D6B"/>
        <rFont val="Arial"/>
        <family val="0"/>
        <charset val="1"/>
      </rPr>
      <t xml:space="preserve">Autoliv </t>
    </r>
    <r>
      <rPr>
        <b val="true"/>
        <sz val="13"/>
        <color rgb="FF002D6B"/>
        <rFont val="Noto Sans CJK SC"/>
        <family val="2"/>
      </rPr>
      <t xml:space="preserve">供应商可持续指数 </t>
    </r>
    <r>
      <rPr>
        <b val="true"/>
        <sz val="13"/>
        <color rgb="FF002D6B"/>
        <rFont val="Arial"/>
        <family val="0"/>
        <charset val="1"/>
      </rPr>
      <t xml:space="preserve">· </t>
    </r>
    <r>
      <rPr>
        <b val="true"/>
        <sz val="13"/>
        <color rgb="FF002D6B"/>
        <rFont val="Noto Sans CJK SC"/>
        <family val="2"/>
      </rPr>
      <t xml:space="preserve">问卷正文  </t>
    </r>
    <r>
      <rPr>
        <b val="true"/>
        <sz val="13"/>
        <color rgb="FF002D6B"/>
        <rFont val="Arial"/>
        <family val="0"/>
        <charset val="1"/>
      </rPr>
      <t xml:space="preserve">|  ASSI Questionnaire</t>
    </r>
  </si>
  <si>
    <r>
      <rPr>
        <b val="true"/>
        <sz val="9"/>
        <color rgb="FF0B4C8C"/>
        <rFont val="Noto Sans CJK SC"/>
        <family val="2"/>
      </rPr>
      <t xml:space="preserve">当前总分 </t>
    </r>
    <r>
      <rPr>
        <b val="true"/>
        <sz val="9"/>
        <color rgb="FF0B4C8C"/>
        <rFont val="Arial"/>
        <family val="0"/>
        <charset val="1"/>
      </rPr>
      <t xml:space="preserve">Score →</t>
    </r>
  </si>
  <si>
    <r>
      <rPr>
        <i val="true"/>
        <sz val="9"/>
        <color rgb="FF8A99A2"/>
        <rFont val="Noto Sans CJK SC"/>
        <family val="2"/>
      </rPr>
      <t xml:space="preserve">作答方式：在『作答 </t>
    </r>
    <r>
      <rPr>
        <i val="true"/>
        <sz val="9"/>
        <color rgb="FF8A99A2"/>
        <rFont val="Arial"/>
        <family val="0"/>
        <charset val="1"/>
      </rPr>
      <t xml:space="preserve">Answer</t>
    </r>
    <r>
      <rPr>
        <i val="true"/>
        <sz val="9"/>
        <color rgb="FF8A99A2"/>
        <rFont val="Noto Sans CJK SC"/>
        <family val="2"/>
      </rPr>
      <t xml:space="preserve">』列下拉选择 是</t>
    </r>
    <r>
      <rPr>
        <i val="true"/>
        <sz val="9"/>
        <color rgb="FF8A99A2"/>
        <rFont val="Arial"/>
        <family val="0"/>
        <charset val="1"/>
      </rPr>
      <t xml:space="preserve">/</t>
    </r>
    <r>
      <rPr>
        <i val="true"/>
        <sz val="9"/>
        <color rgb="FF8A99A2"/>
        <rFont val="Noto Sans CJK SC"/>
        <family val="2"/>
      </rPr>
      <t xml:space="preserve">否</t>
    </r>
    <r>
      <rPr>
        <i val="true"/>
        <sz val="9"/>
        <color rgb="FF8A99A2"/>
        <rFont val="Arial"/>
        <family val="0"/>
        <charset val="1"/>
      </rPr>
      <t xml:space="preserve">/</t>
    </r>
    <r>
      <rPr>
        <i val="true"/>
        <sz val="9"/>
        <color rgb="FF8A99A2"/>
        <rFont val="Noto Sans CJK SC"/>
        <family val="2"/>
      </rPr>
      <t xml:space="preserve">不适用；黄色单元格为供应商填写项。总分与各支柱得分自动计算（详见『计分汇总』表）。</t>
    </r>
  </si>
  <si>
    <r>
      <rPr>
        <i val="true"/>
        <sz val="8"/>
        <color rgb="FF8A99A2"/>
        <rFont val="Arial"/>
        <family val="0"/>
        <charset val="1"/>
      </rPr>
      <t xml:space="preserve">Pick </t>
    </r>
    <r>
      <rPr>
        <i val="true"/>
        <sz val="8"/>
        <color rgb="FF8A99A2"/>
        <rFont val="Noto Sans CJK SC"/>
        <family val="2"/>
      </rPr>
      <t xml:space="preserve">是</t>
    </r>
    <r>
      <rPr>
        <i val="true"/>
        <sz val="8"/>
        <color rgb="FF8A99A2"/>
        <rFont val="Arial"/>
        <family val="0"/>
        <charset val="1"/>
      </rPr>
      <t xml:space="preserve">/</t>
    </r>
    <r>
      <rPr>
        <i val="true"/>
        <sz val="8"/>
        <color rgb="FF8A99A2"/>
        <rFont val="Noto Sans CJK SC"/>
        <family val="2"/>
      </rPr>
      <t xml:space="preserve">否</t>
    </r>
    <r>
      <rPr>
        <i val="true"/>
        <sz val="8"/>
        <color rgb="FF8A99A2"/>
        <rFont val="Arial"/>
        <family val="0"/>
        <charset val="1"/>
      </rPr>
      <t xml:space="preserve">/</t>
    </r>
    <r>
      <rPr>
        <i val="true"/>
        <sz val="8"/>
        <color rgb="FF8A99A2"/>
        <rFont val="Noto Sans CJK SC"/>
        <family val="2"/>
      </rPr>
      <t xml:space="preserve">不适用 </t>
    </r>
    <r>
      <rPr>
        <i val="true"/>
        <sz val="8"/>
        <color rgb="FF8A99A2"/>
        <rFont val="Arial"/>
        <family val="0"/>
        <charset val="1"/>
      </rPr>
      <t xml:space="preserve">in the Answer column; yellow cells are for the supplier. Score auto-updates — see the Score sheet.</t>
    </r>
  </si>
  <si>
    <r>
      <rPr>
        <b val="true"/>
        <sz val="9"/>
        <color rgb="FFFFFFFF"/>
        <rFont val="Noto Sans CJK SC"/>
        <family val="2"/>
      </rPr>
      <t xml:space="preserve">编号
</t>
    </r>
    <r>
      <rPr>
        <b val="true"/>
        <sz val="9"/>
        <color rgb="FFFFFFFF"/>
        <rFont val="Arial"/>
        <family val="0"/>
        <charset val="1"/>
      </rPr>
      <t xml:space="preserve">No.</t>
    </r>
  </si>
  <si>
    <r>
      <rPr>
        <b val="true"/>
        <sz val="9"/>
        <color rgb="FFFFFFFF"/>
        <rFont val="Noto Sans CJK SC"/>
        <family val="2"/>
      </rPr>
      <t xml:space="preserve">支柱
</t>
    </r>
    <r>
      <rPr>
        <b val="true"/>
        <sz val="9"/>
        <color rgb="FFFFFFFF"/>
        <rFont val="Arial"/>
        <family val="0"/>
        <charset val="1"/>
      </rPr>
      <t xml:space="preserve">Pillar</t>
    </r>
  </si>
  <si>
    <r>
      <rPr>
        <b val="true"/>
        <sz val="9"/>
        <color rgb="FFFFFFFF"/>
        <rFont val="Noto Sans CJK SC"/>
        <family val="2"/>
      </rPr>
      <t xml:space="preserve">二级目录
</t>
    </r>
    <r>
      <rPr>
        <b val="true"/>
        <sz val="9"/>
        <color rgb="FFFFFFFF"/>
        <rFont val="Arial"/>
        <family val="0"/>
        <charset val="1"/>
      </rPr>
      <t xml:space="preserve">Subcategory</t>
    </r>
  </si>
  <si>
    <r>
      <rPr>
        <b val="true"/>
        <sz val="9"/>
        <color rgb="FFFFFFFF"/>
        <rFont val="Noto Sans CJK SC"/>
        <family val="2"/>
      </rPr>
      <t xml:space="preserve">对象
</t>
    </r>
    <r>
      <rPr>
        <b val="true"/>
        <sz val="9"/>
        <color rgb="FFFFFFFF"/>
        <rFont val="Arial"/>
        <family val="0"/>
        <charset val="1"/>
      </rPr>
      <t xml:space="preserve">Subject</t>
    </r>
  </si>
  <si>
    <r>
      <rPr>
        <b val="true"/>
        <sz val="9"/>
        <color rgb="FFFFFFFF"/>
        <rFont val="Noto Sans CJK SC"/>
        <family val="2"/>
      </rPr>
      <t xml:space="preserve">题目（中文）
</t>
    </r>
    <r>
      <rPr>
        <b val="true"/>
        <sz val="9"/>
        <color rgb="FFFFFFFF"/>
        <rFont val="Arial"/>
        <family val="0"/>
        <charset val="1"/>
      </rPr>
      <t xml:space="preserve">Question (CN)</t>
    </r>
  </si>
  <si>
    <t xml:space="preserve">Question (EN)</t>
  </si>
  <si>
    <r>
      <rPr>
        <b val="true"/>
        <sz val="9"/>
        <color rgb="FFFFFFFF"/>
        <rFont val="Noto Sans CJK SC"/>
        <family val="2"/>
      </rPr>
      <t xml:space="preserve">说明与证据要求
</t>
    </r>
    <r>
      <rPr>
        <b val="true"/>
        <sz val="9"/>
        <color rgb="FFFFFFFF"/>
        <rFont val="Arial"/>
        <family val="0"/>
        <charset val="1"/>
      </rPr>
      <t xml:space="preserve">Guideline / Evidence</t>
    </r>
  </si>
  <si>
    <r>
      <rPr>
        <b val="true"/>
        <sz val="9"/>
        <color rgb="FFFFFFFF"/>
        <rFont val="Noto Sans CJK SC"/>
        <family val="2"/>
      </rPr>
      <t xml:space="preserve">作答
</t>
    </r>
    <r>
      <rPr>
        <b val="true"/>
        <sz val="9"/>
        <color rgb="FFFFFFFF"/>
        <rFont val="Arial"/>
        <family val="0"/>
        <charset val="1"/>
      </rPr>
      <t xml:space="preserve">Answer</t>
    </r>
  </si>
  <si>
    <r>
      <rPr>
        <b val="true"/>
        <sz val="9"/>
        <color rgb="FFFFFFFF"/>
        <rFont val="Noto Sans CJK SC"/>
        <family val="2"/>
      </rPr>
      <t xml:space="preserve">支持信息
</t>
    </r>
    <r>
      <rPr>
        <b val="true"/>
        <sz val="9"/>
        <color rgb="FFFFFFFF"/>
        <rFont val="Arial"/>
        <family val="0"/>
        <charset val="1"/>
      </rPr>
      <t xml:space="preserve">Supporting Info</t>
    </r>
  </si>
  <si>
    <r>
      <rPr>
        <b val="true"/>
        <sz val="9"/>
        <color rgb="FFFFFFFF"/>
        <rFont val="Noto Sans CJK SC"/>
        <family val="2"/>
      </rPr>
      <t xml:space="preserve">行动计划
</t>
    </r>
    <r>
      <rPr>
        <b val="true"/>
        <sz val="9"/>
        <color rgb="FFFFFFFF"/>
        <rFont val="Arial"/>
        <family val="0"/>
        <charset val="1"/>
      </rPr>
      <t xml:space="preserve">Action Plan</t>
    </r>
  </si>
  <si>
    <r>
      <rPr>
        <b val="true"/>
        <sz val="9"/>
        <color rgb="FFFFFFFF"/>
        <rFont val="Noto Sans CJK SC"/>
        <family val="2"/>
      </rPr>
      <t xml:space="preserve">强制
</t>
    </r>
    <r>
      <rPr>
        <b val="true"/>
        <sz val="9"/>
        <color rgb="FFFFFFFF"/>
        <rFont val="Arial"/>
        <family val="0"/>
        <charset val="1"/>
      </rPr>
      <t xml:space="preserve">R/E/N</t>
    </r>
  </si>
  <si>
    <r>
      <rPr>
        <b val="true"/>
        <sz val="9"/>
        <color rgb="FFFFFFFF"/>
        <rFont val="Noto Sans CJK SC"/>
        <family val="2"/>
      </rPr>
      <t xml:space="preserve">权重
</t>
    </r>
    <r>
      <rPr>
        <b val="true"/>
        <sz val="9"/>
        <color rgb="FFFFFFFF"/>
        <rFont val="Arial"/>
        <family val="0"/>
        <charset val="1"/>
      </rPr>
      <t xml:space="preserve">Wt</t>
    </r>
  </si>
  <si>
    <r>
      <rPr>
        <b val="true"/>
        <sz val="9"/>
        <color rgb="FFFFFFFF"/>
        <rFont val="Noto Sans CJK SC"/>
        <family val="2"/>
      </rPr>
      <t xml:space="preserve">对齐</t>
    </r>
    <r>
      <rPr>
        <b val="true"/>
        <sz val="9"/>
        <color rgb="FFFFFFFF"/>
        <rFont val="Arial"/>
        <family val="0"/>
        <charset val="1"/>
      </rPr>
      <t xml:space="preserve">#37
Align</t>
    </r>
  </si>
  <si>
    <r>
      <rPr>
        <b val="true"/>
        <sz val="9"/>
        <color rgb="FFFFFFFF"/>
        <rFont val="Noto Sans CJK SC"/>
        <family val="2"/>
      </rPr>
      <t xml:space="preserve">来源
</t>
    </r>
    <r>
      <rPr>
        <b val="true"/>
        <sz val="9"/>
        <color rgb="FFFFFFFF"/>
        <rFont val="Arial"/>
        <family val="0"/>
        <charset val="1"/>
      </rPr>
      <t xml:space="preserve">Source</t>
    </r>
  </si>
  <si>
    <r>
      <rPr>
        <b val="true"/>
        <sz val="9"/>
        <color rgb="FFFFFFFF"/>
        <rFont val="Noto Sans CJK SC"/>
        <family val="2"/>
      </rPr>
      <t xml:space="preserve">分母
</t>
    </r>
    <r>
      <rPr>
        <b val="true"/>
        <sz val="9"/>
        <color rgb="FFFFFFFF"/>
        <rFont val="Arial"/>
        <family val="0"/>
        <charset val="1"/>
      </rPr>
      <t xml:space="preserve">denom</t>
    </r>
  </si>
  <si>
    <r>
      <rPr>
        <b val="true"/>
        <sz val="9"/>
        <color rgb="FFFFFFFF"/>
        <rFont val="Noto Sans CJK SC"/>
        <family val="2"/>
      </rPr>
      <t xml:space="preserve">分子
</t>
    </r>
    <r>
      <rPr>
        <b val="true"/>
        <sz val="9"/>
        <color rgb="FFFFFFFF"/>
        <rFont val="Arial"/>
        <family val="0"/>
        <charset val="1"/>
      </rPr>
      <t xml:space="preserve">num</t>
    </r>
  </si>
  <si>
    <t xml:space="preserve">示例</t>
  </si>
  <si>
    <r>
      <rPr>
        <i val="true"/>
        <sz val="8"/>
        <color rgb="FF8A99A2"/>
        <rFont val="Noto Sans CJK SC"/>
        <family val="2"/>
      </rPr>
      <t xml:space="preserve">— 示例行 </t>
    </r>
    <r>
      <rPr>
        <i val="true"/>
        <sz val="8"/>
        <color rgb="FF8A99A2"/>
        <rFont val="Arial"/>
        <family val="0"/>
        <charset val="1"/>
      </rPr>
      <t xml:space="preserve">EXAMPLE —</t>
    </r>
  </si>
  <si>
    <r>
      <rPr>
        <i val="true"/>
        <sz val="8"/>
        <color rgb="FF8A99A2"/>
        <rFont val="Arial"/>
        <family val="0"/>
        <charset val="1"/>
      </rPr>
      <t xml:space="preserve">(</t>
    </r>
    <r>
      <rPr>
        <i val="true"/>
        <sz val="8"/>
        <color rgb="FF8A99A2"/>
        <rFont val="Noto Sans CJK SC"/>
        <family val="2"/>
      </rPr>
      <t xml:space="preserve">示例</t>
    </r>
    <r>
      <rPr>
        <i val="true"/>
        <sz val="8"/>
        <color rgb="FF8A99A2"/>
        <rFont val="Arial"/>
        <family val="0"/>
        <charset val="1"/>
      </rPr>
      <t xml:space="preserve">)</t>
    </r>
  </si>
  <si>
    <r>
      <rPr>
        <i val="true"/>
        <sz val="8"/>
        <color rgb="FF8A99A2"/>
        <rFont val="Noto Sans CJK SC"/>
        <family val="2"/>
      </rPr>
      <t xml:space="preserve">工厂 </t>
    </r>
    <r>
      <rPr>
        <i val="true"/>
        <sz val="8"/>
        <color rgb="FF8A99A2"/>
        <rFont val="Arial"/>
        <family val="0"/>
        <charset val="1"/>
      </rPr>
      <t xml:space="preserve">Fac</t>
    </r>
  </si>
  <si>
    <t xml:space="preserve">（此行为示例，请勿填写；正式题目从下一行开始）</t>
  </si>
  <si>
    <t xml:space="preserve">(Example row — do not fill in; real questions start below)</t>
  </si>
  <si>
    <t xml:space="preserve">如『是』请在支持信息栏提供佐证。</t>
  </si>
  <si>
    <t xml:space="preserve">是</t>
  </si>
  <si>
    <r>
      <rPr>
        <i val="true"/>
        <sz val="8"/>
        <color rgb="FF8A99A2"/>
        <rFont val="Noto Sans CJK SC"/>
        <family val="2"/>
      </rPr>
      <t xml:space="preserve">例：已通过 </t>
    </r>
    <r>
      <rPr>
        <i val="true"/>
        <sz val="8"/>
        <color rgb="FF8A99A2"/>
        <rFont val="Arial"/>
        <family val="0"/>
        <charset val="1"/>
      </rPr>
      <t xml:space="preserve">ISO 14064 </t>
    </r>
    <r>
      <rPr>
        <i val="true"/>
        <sz val="8"/>
        <color rgb="FF8A99A2"/>
        <rFont val="Noto Sans CJK SC"/>
        <family val="2"/>
      </rPr>
      <t xml:space="preserve">组织碳盘查，报告见附件。</t>
    </r>
  </si>
  <si>
    <r>
      <rPr>
        <i val="true"/>
        <sz val="8"/>
        <color rgb="FF8A99A2"/>
        <rFont val="Noto Sans CJK SC"/>
        <family val="2"/>
      </rPr>
      <t xml:space="preserve">例：</t>
    </r>
    <r>
      <rPr>
        <i val="true"/>
        <sz val="8"/>
        <color rgb="FF8A99A2"/>
        <rFont val="Arial"/>
        <family val="0"/>
        <charset val="1"/>
      </rPr>
      <t xml:space="preserve">2026Q4 </t>
    </r>
    <r>
      <rPr>
        <i val="true"/>
        <sz val="8"/>
        <color rgb="FF8A99A2"/>
        <rFont val="Noto Sans CJK SC"/>
        <family val="2"/>
      </rPr>
      <t xml:space="preserve">前完成第三方核查。</t>
    </r>
  </si>
  <si>
    <t xml:space="preserve">R</t>
  </si>
  <si>
    <t xml:space="preserve">#8</t>
  </si>
  <si>
    <r>
      <rPr>
        <i val="true"/>
        <sz val="8"/>
        <color rgb="FF8A99A2"/>
        <rFont val="Noto Sans CJK SC"/>
        <family val="2"/>
      </rPr>
      <t xml:space="preserve">示例 </t>
    </r>
    <r>
      <rPr>
        <i val="true"/>
        <sz val="8"/>
        <color rgb="FF8A99A2"/>
        <rFont val="Arial"/>
        <family val="0"/>
        <charset val="1"/>
      </rPr>
      <t xml:space="preserve">Example</t>
    </r>
  </si>
  <si>
    <r>
      <rPr>
        <sz val="9"/>
        <color rgb="FF1F2A30"/>
        <rFont val="Arial"/>
        <family val="0"/>
        <charset val="1"/>
      </rPr>
      <t xml:space="preserve">P1 </t>
    </r>
    <r>
      <rPr>
        <sz val="9"/>
        <color rgb="FF1F2A30"/>
        <rFont val="Noto Sans CJK SC"/>
        <family val="2"/>
      </rPr>
      <t xml:space="preserve">可持续管理框架与传导</t>
    </r>
  </si>
  <si>
    <r>
      <rPr>
        <sz val="9"/>
        <color rgb="FF1F2A30"/>
        <rFont val="Noto Sans CJK SC"/>
        <family val="2"/>
      </rPr>
      <t xml:space="preserve">治理责任 </t>
    </r>
    <r>
      <rPr>
        <sz val="9"/>
        <color rgb="FF1F2A30"/>
        <rFont val="Arial"/>
        <family val="0"/>
        <charset val="1"/>
      </rPr>
      <t xml:space="preserve">Governance</t>
    </r>
  </si>
  <si>
    <t xml:space="preserve">集团</t>
  </si>
  <si>
    <r>
      <rPr>
        <sz val="9"/>
        <color rgb="FF1F2A30"/>
        <rFont val="Noto Sans CJK SC"/>
        <family val="2"/>
      </rPr>
      <t xml:space="preserve">公司是否任命高管层的可持续发展负责人（涵盖社会</t>
    </r>
    <r>
      <rPr>
        <sz val="9"/>
        <color rgb="FF1F2A30"/>
        <rFont val="Arial"/>
        <family val="0"/>
        <charset val="1"/>
      </rPr>
      <t xml:space="preserve">/</t>
    </r>
    <r>
      <rPr>
        <sz val="9"/>
        <color rgb="FF1F2A30"/>
        <rFont val="Noto Sans CJK SC"/>
        <family val="2"/>
      </rPr>
      <t xml:space="preserve">合规</t>
    </r>
    <r>
      <rPr>
        <sz val="9"/>
        <color rgb="FF1F2A30"/>
        <rFont val="Arial"/>
        <family val="0"/>
        <charset val="1"/>
      </rPr>
      <t xml:space="preserve">/</t>
    </r>
    <r>
      <rPr>
        <sz val="9"/>
        <color rgb="FF1F2A30"/>
        <rFont val="Noto Sans CJK SC"/>
        <family val="2"/>
      </rPr>
      <t xml:space="preserve">环境），职责已成文并保持联系方式更新？</t>
    </r>
  </si>
  <si>
    <t xml:space="preserve">Has the company appointed an executive-level sustainability lead (covering social, compliance and environment), with documented responsibilities and up-to-date contact details?</t>
  </si>
  <si>
    <r>
      <rPr>
        <sz val="9"/>
        <color rgb="FF1F2A30"/>
        <rFont val="Noto Sans CJK SC"/>
        <family val="2"/>
      </rPr>
      <t xml:space="preserve">如果</t>
    </r>
    <r>
      <rPr>
        <sz val="9"/>
        <color rgb="FF1F2A30"/>
        <rFont val="Arial"/>
        <family val="0"/>
        <charset val="1"/>
      </rPr>
      <t xml:space="preserve">'</t>
    </r>
    <r>
      <rPr>
        <sz val="9"/>
        <color rgb="FF1F2A30"/>
        <rFont val="Noto Sans CJK SC"/>
        <family val="2"/>
      </rPr>
      <t xml:space="preserve">是</t>
    </r>
    <r>
      <rPr>
        <sz val="9"/>
        <color rgb="FF1F2A30"/>
        <rFont val="Arial"/>
        <family val="0"/>
        <charset val="1"/>
      </rPr>
      <t xml:space="preserve">'</t>
    </r>
    <r>
      <rPr>
        <sz val="9"/>
        <color rgb="FF1F2A30"/>
        <rFont val="Noto Sans CJK SC"/>
        <family val="2"/>
      </rPr>
      <t xml:space="preserve">，请提供负责人姓名</t>
    </r>
    <r>
      <rPr>
        <sz val="9"/>
        <color rgb="FF1F2A30"/>
        <rFont val="Arial"/>
        <family val="0"/>
        <charset val="1"/>
      </rPr>
      <t xml:space="preserve">/</t>
    </r>
    <r>
      <rPr>
        <sz val="9"/>
        <color rgb="FF1F2A30"/>
        <rFont val="Noto Sans CJK SC"/>
        <family val="2"/>
      </rPr>
      <t xml:space="preserve">职务</t>
    </r>
    <r>
      <rPr>
        <sz val="9"/>
        <color rgb="FF1F2A30"/>
        <rFont val="Arial"/>
        <family val="0"/>
        <charset val="1"/>
      </rPr>
      <t xml:space="preserve">/</t>
    </r>
    <r>
      <rPr>
        <sz val="9"/>
        <color rgb="FF1F2A30"/>
        <rFont val="Noto Sans CJK SC"/>
        <family val="2"/>
      </rPr>
      <t xml:space="preserve">联系方式。 </t>
    </r>
    <r>
      <rPr>
        <sz val="9"/>
        <color rgb="FF1F2A30"/>
        <rFont val="Arial"/>
        <family val="0"/>
        <charset val="1"/>
      </rPr>
      <t xml:space="preserve">/ If "Yes", provide the lead's name/title/contact.</t>
    </r>
  </si>
  <si>
    <r>
      <rPr>
        <sz val="9"/>
        <color rgb="FF1F2A30"/>
        <rFont val="Arial"/>
        <family val="0"/>
        <charset val="1"/>
      </rPr>
      <t xml:space="preserve">#33 </t>
    </r>
    <r>
      <rPr>
        <sz val="9"/>
        <color rgb="FF1F2A30"/>
        <rFont val="Noto Sans CJK SC"/>
        <family val="2"/>
      </rPr>
      <t xml:space="preserve">高管可持续责任人</t>
    </r>
  </si>
  <si>
    <r>
      <rPr>
        <sz val="9"/>
        <color rgb="FF1F2A30"/>
        <rFont val="Arial"/>
        <family val="0"/>
        <charset val="1"/>
      </rPr>
      <t xml:space="preserve">Autoliv </t>
    </r>
    <r>
      <rPr>
        <sz val="9"/>
        <color rgb="FF1F2A30"/>
        <rFont val="Noto Sans CJK SC"/>
        <family val="2"/>
      </rPr>
      <t xml:space="preserve">采购要求 </t>
    </r>
    <r>
      <rPr>
        <sz val="9"/>
        <color rgb="FF1F2A30"/>
        <rFont val="Arial"/>
        <family val="0"/>
        <charset val="1"/>
      </rPr>
      <t xml:space="preserve">#33</t>
    </r>
  </si>
  <si>
    <t xml:space="preserve">采购及供应商管理</t>
  </si>
  <si>
    <r>
      <rPr>
        <sz val="9"/>
        <color rgb="FF1F2A30"/>
        <rFont val="Noto Sans CJK SC"/>
        <family val="2"/>
      </rPr>
      <t xml:space="preserve">集团</t>
    </r>
    <r>
      <rPr>
        <sz val="9"/>
        <color rgb="FF1F2A30"/>
        <rFont val="Arial"/>
        <family val="0"/>
        <charset val="1"/>
      </rPr>
      <t xml:space="preserve">+</t>
    </r>
    <r>
      <rPr>
        <sz val="9"/>
        <color rgb="FF1F2A30"/>
        <rFont val="Noto Sans CJK SC"/>
        <family val="2"/>
      </rPr>
      <t xml:space="preserve">工厂</t>
    </r>
  </si>
  <si>
    <r>
      <rPr>
        <sz val="9"/>
        <color rgb="FF1F2A30"/>
        <rFont val="Noto Sans CJK SC"/>
        <family val="2"/>
      </rPr>
      <t xml:space="preserve">选择供应商时，是否将低碳与可持续要求（含 </t>
    </r>
    <r>
      <rPr>
        <sz val="9"/>
        <color rgb="FF1F2A30"/>
        <rFont val="Arial"/>
        <family val="0"/>
        <charset val="1"/>
      </rPr>
      <t xml:space="preserve">Autoliv </t>
    </r>
    <r>
      <rPr>
        <sz val="9"/>
        <color rgb="FF1F2A30"/>
        <rFont val="Noto Sans CJK SC"/>
        <family val="2"/>
      </rPr>
      <t xml:space="preserve">采购要求）作为准入与选择标准？</t>
    </r>
  </si>
  <si>
    <t xml:space="preserve">When selecting suppliers, do you apply low-carbon and sustainability requirements (including Autoliv's sourcing requirements) as qualification/selection criteria?</t>
  </si>
  <si>
    <r>
      <rPr>
        <sz val="9"/>
        <color rgb="FF1F2A30"/>
        <rFont val="Noto Sans CJK SC"/>
        <family val="2"/>
      </rPr>
      <t xml:space="preserve">如果</t>
    </r>
    <r>
      <rPr>
        <sz val="9"/>
        <color rgb="FF1F2A30"/>
        <rFont val="Arial"/>
        <family val="0"/>
        <charset val="1"/>
      </rPr>
      <t xml:space="preserve">'</t>
    </r>
    <r>
      <rPr>
        <sz val="9"/>
        <color rgb="FF1F2A30"/>
        <rFont val="Noto Sans CJK SC"/>
        <family val="2"/>
      </rPr>
      <t xml:space="preserve">是</t>
    </r>
    <r>
      <rPr>
        <sz val="9"/>
        <color rgb="FF1F2A30"/>
        <rFont val="Arial"/>
        <family val="0"/>
        <charset val="1"/>
      </rPr>
      <t xml:space="preserve">'</t>
    </r>
    <r>
      <rPr>
        <sz val="9"/>
        <color rgb="FF1F2A30"/>
        <rFont val="Noto Sans CJK SC"/>
        <family val="2"/>
      </rPr>
      <t xml:space="preserve">，请在支持信息栏说明具体准入标准。可将 </t>
    </r>
    <r>
      <rPr>
        <sz val="9"/>
        <color rgb="FF1F2A30"/>
        <rFont val="Arial"/>
        <family val="0"/>
        <charset val="1"/>
      </rPr>
      <t xml:space="preserve">Autoliv </t>
    </r>
    <r>
      <rPr>
        <sz val="9"/>
        <color rgb="FF1F2A30"/>
        <rFont val="Noto Sans CJK SC"/>
        <family val="2"/>
      </rPr>
      <t xml:space="preserve">低碳准入标准固化进您的供应商准入流程。 </t>
    </r>
    <r>
      <rPr>
        <sz val="9"/>
        <color rgb="FF1F2A30"/>
        <rFont val="Arial"/>
        <family val="0"/>
        <charset val="1"/>
      </rPr>
      <t xml:space="preserve">/ If "Yes", specify the qualification criteria; Autoliv's low-carbon criteria can be embedded into your supplier onboarding.</t>
    </r>
  </si>
  <si>
    <t xml:space="preserve">计分</t>
  </si>
  <si>
    <r>
      <rPr>
        <sz val="9"/>
        <color rgb="FF1F2A30"/>
        <rFont val="Arial"/>
        <family val="0"/>
        <charset val="1"/>
      </rPr>
      <t xml:space="preserve">#34 </t>
    </r>
    <r>
      <rPr>
        <sz val="9"/>
        <color rgb="FF1F2A30"/>
        <rFont val="Noto Sans CJK SC"/>
        <family val="2"/>
      </rPr>
      <t xml:space="preserve">向上游传导 </t>
    </r>
    <r>
      <rPr>
        <sz val="9"/>
        <color rgb="FF1F2A30"/>
        <rFont val="Arial"/>
        <family val="0"/>
        <charset val="1"/>
      </rPr>
      <t xml:space="preserve">/ #36 </t>
    </r>
    <r>
      <rPr>
        <sz val="9"/>
        <color rgb="FF1F2A30"/>
        <rFont val="Noto Sans CJK SC"/>
        <family val="2"/>
      </rPr>
      <t xml:space="preserve">年度自评</t>
    </r>
  </si>
  <si>
    <r>
      <rPr>
        <sz val="9"/>
        <color rgb="FF1F2A30"/>
        <rFont val="Arial"/>
        <family val="0"/>
        <charset val="1"/>
      </rPr>
      <t xml:space="preserve">Polestar SSI</t>
    </r>
    <r>
      <rPr>
        <sz val="9"/>
        <color rgb="FF1F2A30"/>
        <rFont val="Noto Sans CJK SC"/>
        <family val="2"/>
      </rPr>
      <t xml:space="preserve">（基准）</t>
    </r>
  </si>
  <si>
    <r>
      <rPr>
        <sz val="9"/>
        <color rgb="FF1F2A30"/>
        <rFont val="Noto Sans CJK SC"/>
        <family val="2"/>
      </rPr>
      <t xml:space="preserve">要求传导 </t>
    </r>
    <r>
      <rPr>
        <sz val="9"/>
        <color rgb="FF1F2A30"/>
        <rFont val="Arial"/>
        <family val="0"/>
        <charset val="1"/>
      </rPr>
      <t xml:space="preserve">Cascade</t>
    </r>
  </si>
  <si>
    <r>
      <rPr>
        <sz val="9"/>
        <color rgb="FF1F2A30"/>
        <rFont val="Noto Sans CJK SC"/>
        <family val="2"/>
      </rPr>
      <t xml:space="preserve">是否已将 </t>
    </r>
    <r>
      <rPr>
        <sz val="9"/>
        <color rgb="FF1F2A30"/>
        <rFont val="Arial"/>
        <family val="0"/>
        <charset val="1"/>
      </rPr>
      <t xml:space="preserve">Autoliv </t>
    </r>
    <r>
      <rPr>
        <sz val="9"/>
        <color rgb="FF1F2A30"/>
        <rFont val="Noto Sans CJK SC"/>
        <family val="2"/>
      </rPr>
      <t xml:space="preserve">全部可持续采购要求逐条传导至上游（</t>
    </r>
    <r>
      <rPr>
        <sz val="9"/>
        <color rgb="FF1F2A30"/>
        <rFont val="Arial"/>
        <family val="0"/>
        <charset val="1"/>
      </rPr>
      <t xml:space="preserve">Tier-2</t>
    </r>
    <r>
      <rPr>
        <sz val="9"/>
        <color rgb="FF1F2A30"/>
        <rFont val="Noto Sans CJK SC"/>
        <family val="2"/>
      </rPr>
      <t xml:space="preserve">），并验证 </t>
    </r>
    <r>
      <rPr>
        <sz val="9"/>
        <color rgb="FF1F2A30"/>
        <rFont val="Arial"/>
        <family val="0"/>
        <charset val="1"/>
      </rPr>
      <t xml:space="preserve">Tier-2 </t>
    </r>
    <r>
      <rPr>
        <sz val="9"/>
        <color rgb="FF1F2A30"/>
        <rFont val="Noto Sans CJK SC"/>
        <family val="2"/>
      </rPr>
      <t xml:space="preserve">已采纳、要求其继续向 </t>
    </r>
    <r>
      <rPr>
        <sz val="9"/>
        <color rgb="FF1F2A30"/>
        <rFont val="Arial"/>
        <family val="0"/>
        <charset val="1"/>
      </rPr>
      <t xml:space="preserve">Tier-3 </t>
    </r>
    <r>
      <rPr>
        <sz val="9"/>
        <color rgb="FF1F2A30"/>
        <rFont val="Noto Sans CJK SC"/>
        <family val="2"/>
      </rPr>
      <t xml:space="preserve">传导？</t>
    </r>
  </si>
  <si>
    <t xml:space="preserve">Have you cascaded ALL of Autoliv's sustainability sourcing requirements to your upstream (Tier-2), verified Tier-2 adoption, and required onward cascade to Tier-3?</t>
  </si>
  <si>
    <r>
      <rPr>
        <sz val="9"/>
        <color rgb="FF1F2A30"/>
        <rFont val="Noto Sans CJK SC"/>
        <family val="2"/>
      </rPr>
      <t xml:space="preserve">如果</t>
    </r>
    <r>
      <rPr>
        <sz val="9"/>
        <color rgb="FF1F2A30"/>
        <rFont val="Arial"/>
        <family val="0"/>
        <charset val="1"/>
      </rPr>
      <t xml:space="preserve">'</t>
    </r>
    <r>
      <rPr>
        <sz val="9"/>
        <color rgb="FF1F2A30"/>
        <rFont val="Noto Sans CJK SC"/>
        <family val="2"/>
      </rPr>
      <t xml:space="preserve">是</t>
    </r>
    <r>
      <rPr>
        <sz val="9"/>
        <color rgb="FF1F2A30"/>
        <rFont val="Arial"/>
        <family val="0"/>
        <charset val="1"/>
      </rPr>
      <t xml:space="preserve">'</t>
    </r>
    <r>
      <rPr>
        <sz val="9"/>
        <color rgb="FF1F2A30"/>
        <rFont val="Noto Sans CJK SC"/>
        <family val="2"/>
      </rPr>
      <t xml:space="preserve">，请说明传导方式（合同</t>
    </r>
    <r>
      <rPr>
        <sz val="9"/>
        <color rgb="FF1F2A30"/>
        <rFont val="Arial"/>
        <family val="0"/>
        <charset val="1"/>
      </rPr>
      <t xml:space="preserve">/</t>
    </r>
    <r>
      <rPr>
        <sz val="9"/>
        <color rgb="FF1F2A30"/>
        <rFont val="Noto Sans CJK SC"/>
        <family val="2"/>
      </rPr>
      <t xml:space="preserve">问卷</t>
    </r>
    <r>
      <rPr>
        <sz val="9"/>
        <color rgb="FF1F2A30"/>
        <rFont val="Arial"/>
        <family val="0"/>
        <charset val="1"/>
      </rPr>
      <t xml:space="preserve">/</t>
    </r>
    <r>
      <rPr>
        <sz val="9"/>
        <color rgb="FF1F2A30"/>
        <rFont val="Noto Sans CJK SC"/>
        <family val="2"/>
      </rPr>
      <t xml:space="preserve">平台）、已覆盖 </t>
    </r>
    <r>
      <rPr>
        <sz val="9"/>
        <color rgb="FF1F2A30"/>
        <rFont val="Arial"/>
        <family val="0"/>
        <charset val="1"/>
      </rPr>
      <t xml:space="preserve">Tier-2 </t>
    </r>
    <r>
      <rPr>
        <sz val="9"/>
        <color rgb="FF1F2A30"/>
        <rFont val="Noto Sans CJK SC"/>
        <family val="2"/>
      </rPr>
      <t xml:space="preserve">家数与回执验证方式。此为链主传导关键项。 </t>
    </r>
    <r>
      <rPr>
        <sz val="9"/>
        <color rgb="FF1F2A30"/>
        <rFont val="Arial"/>
        <family val="0"/>
        <charset val="1"/>
      </rPr>
      <t xml:space="preserve">/ If "Yes", describe the cascade method, number of Tier-2 covered, and receipt-verification. Keystone of chain-lead cascade.</t>
    </r>
  </si>
  <si>
    <r>
      <rPr>
        <sz val="9"/>
        <color rgb="FF1F2A30"/>
        <rFont val="Arial"/>
        <family val="0"/>
        <charset val="1"/>
      </rPr>
      <t xml:space="preserve">#34 </t>
    </r>
    <r>
      <rPr>
        <sz val="9"/>
        <color rgb="FF1F2A30"/>
        <rFont val="Noto Sans CJK SC"/>
        <family val="2"/>
      </rPr>
      <t xml:space="preserve">向上游传导并验证</t>
    </r>
  </si>
  <si>
    <r>
      <rPr>
        <sz val="9"/>
        <color rgb="FF1F2A30"/>
        <rFont val="Arial"/>
        <family val="0"/>
        <charset val="1"/>
      </rPr>
      <t xml:space="preserve">Autoliv </t>
    </r>
    <r>
      <rPr>
        <sz val="9"/>
        <color rgb="FF1F2A30"/>
        <rFont val="Noto Sans CJK SC"/>
        <family val="2"/>
      </rPr>
      <t xml:space="preserve">采购要求 </t>
    </r>
    <r>
      <rPr>
        <sz val="9"/>
        <color rgb="FF1F2A30"/>
        <rFont val="Arial"/>
        <family val="0"/>
        <charset val="1"/>
      </rPr>
      <t xml:space="preserve">#34 · </t>
    </r>
    <r>
      <rPr>
        <sz val="9"/>
        <color rgb="FF1F2A30"/>
        <rFont val="Noto Sans CJK SC"/>
        <family val="2"/>
      </rPr>
      <t xml:space="preserve">吉利</t>
    </r>
    <r>
      <rPr>
        <sz val="9"/>
        <color rgb="FF1F2A30"/>
        <rFont val="Arial"/>
        <family val="0"/>
        <charset val="1"/>
      </rPr>
      <t xml:space="preserve">/</t>
    </r>
    <r>
      <rPr>
        <sz val="9"/>
        <color rgb="FF1F2A30"/>
        <rFont val="Noto Sans CJK SC"/>
        <family val="2"/>
      </rPr>
      <t xml:space="preserve">奇瑞（要求核心供应商向上传导）</t>
    </r>
  </si>
  <si>
    <t xml:space="preserve">是否对上游供应商开展环保与减排培训？（培训记录即作为支持信息）</t>
  </si>
  <si>
    <t xml:space="preserve">Do you provide environmental-protection and emission-reduction training to upstream suppliers? (training records serve as supporting information)</t>
  </si>
  <si>
    <r>
      <rPr>
        <sz val="9"/>
        <color rgb="FF1F2A30"/>
        <rFont val="Noto Sans CJK SC"/>
        <family val="2"/>
      </rPr>
      <t xml:space="preserve">如果</t>
    </r>
    <r>
      <rPr>
        <sz val="9"/>
        <color rgb="FF1F2A30"/>
        <rFont val="Arial"/>
        <family val="0"/>
        <charset val="1"/>
      </rPr>
      <t xml:space="preserve">'</t>
    </r>
    <r>
      <rPr>
        <sz val="9"/>
        <color rgb="FF1F2A30"/>
        <rFont val="Noto Sans CJK SC"/>
        <family val="2"/>
      </rPr>
      <t xml:space="preserve">是</t>
    </r>
    <r>
      <rPr>
        <sz val="9"/>
        <color rgb="FF1F2A30"/>
        <rFont val="Arial"/>
        <family val="0"/>
        <charset val="1"/>
      </rPr>
      <t xml:space="preserve">'</t>
    </r>
    <r>
      <rPr>
        <sz val="9"/>
        <color rgb="FF1F2A30"/>
        <rFont val="Noto Sans CJK SC"/>
        <family val="2"/>
      </rPr>
      <t xml:space="preserve">，请提供最近一次培训的时间、地点、参与供应商数量。</t>
    </r>
    <r>
      <rPr>
        <sz val="9"/>
        <color rgb="FF1F2A30"/>
        <rFont val="Arial"/>
        <family val="0"/>
        <charset val="1"/>
      </rPr>
      <t xml:space="preserve">Autoliv </t>
    </r>
    <r>
      <rPr>
        <sz val="9"/>
        <color rgb="FF1F2A30"/>
        <rFont val="Noto Sans CJK SC"/>
        <family val="2"/>
      </rPr>
      <t xml:space="preserve">平台可提供减排</t>
    </r>
    <r>
      <rPr>
        <sz val="9"/>
        <color rgb="FF1F2A30"/>
        <rFont val="Arial"/>
        <family val="0"/>
        <charset val="1"/>
      </rPr>
      <t xml:space="preserve">/LCA/SBTi </t>
    </r>
    <r>
      <rPr>
        <sz val="9"/>
        <color rgb="FF1F2A30"/>
        <rFont val="Noto Sans CJK SC"/>
        <family val="2"/>
      </rPr>
      <t xml:space="preserve">培训课程。 </t>
    </r>
    <r>
      <rPr>
        <sz val="9"/>
        <color rgb="FF1F2A30"/>
        <rFont val="Arial"/>
        <family val="0"/>
        <charset val="1"/>
      </rPr>
      <t xml:space="preserve">/ If "Yes", provide date/location/number of participating suppliers of the last session.</t>
    </r>
  </si>
  <si>
    <r>
      <rPr>
        <sz val="9"/>
        <color rgb="FF1F2A30"/>
        <rFont val="Noto Sans CJK SC"/>
        <family val="2"/>
      </rPr>
      <t xml:space="preserve">全链溯源 </t>
    </r>
    <r>
      <rPr>
        <sz val="9"/>
        <color rgb="FF1F2A30"/>
        <rFont val="Arial"/>
        <family val="0"/>
        <charset val="1"/>
      </rPr>
      <t xml:space="preserve">Traceability</t>
    </r>
  </si>
  <si>
    <t xml:space="preserve">工厂</t>
  </si>
  <si>
    <r>
      <rPr>
        <sz val="9"/>
        <color rgb="FF1F2A30"/>
        <rFont val="Noto Sans CJK SC"/>
        <family val="2"/>
      </rPr>
      <t xml:space="preserve">是否能按 </t>
    </r>
    <r>
      <rPr>
        <sz val="9"/>
        <color rgb="FF1F2A30"/>
        <rFont val="Arial"/>
        <family val="0"/>
        <charset val="1"/>
      </rPr>
      <t xml:space="preserve">Autoliv </t>
    </r>
    <r>
      <rPr>
        <sz val="9"/>
        <color rgb="FF1F2A30"/>
        <rFont val="Noto Sans CJK SC"/>
        <family val="2"/>
      </rPr>
      <t xml:space="preserve">零件号将供应链追溯至 </t>
    </r>
    <r>
      <rPr>
        <sz val="9"/>
        <color rgb="FF1F2A30"/>
        <rFont val="Arial"/>
        <family val="0"/>
        <charset val="1"/>
      </rPr>
      <t xml:space="preserve">Tier-N</t>
    </r>
    <r>
      <rPr>
        <sz val="9"/>
        <color rgb="FF1F2A30"/>
        <rFont val="Noto Sans CJK SC"/>
        <family val="2"/>
      </rPr>
      <t xml:space="preserve">（含原材料级），并全力配合 </t>
    </r>
    <r>
      <rPr>
        <sz val="9"/>
        <color rgb="FF1F2A30"/>
        <rFont val="Arial"/>
        <family val="0"/>
        <charset val="1"/>
      </rPr>
      <t xml:space="preserve">Autoliv </t>
    </r>
    <r>
      <rPr>
        <sz val="9"/>
        <color rgb="FF1F2A30"/>
        <rFont val="Noto Sans CJK SC"/>
        <family val="2"/>
      </rPr>
      <t xml:space="preserve">信息请求？</t>
    </r>
  </si>
  <si>
    <t xml:space="preserve">Can you trace the supply chain by Autoliv part number down to Tier-N (incl. raw-material level) and fully support Autoliv information requests?</t>
  </si>
  <si>
    <r>
      <rPr>
        <sz val="9"/>
        <color rgb="FF1F2A30"/>
        <rFont val="Noto Sans CJK SC"/>
        <family val="2"/>
      </rPr>
      <t xml:space="preserve">期望项（</t>
    </r>
    <r>
      <rPr>
        <sz val="9"/>
        <color rgb="FF1F2A30"/>
        <rFont val="Arial"/>
        <family val="0"/>
        <charset val="1"/>
      </rPr>
      <t xml:space="preserve">2025</t>
    </r>
    <r>
      <rPr>
        <sz val="9"/>
        <color rgb="FF1F2A30"/>
        <rFont val="Noto Sans CJK SC"/>
        <family val="2"/>
      </rPr>
      <t xml:space="preserve">）。如</t>
    </r>
    <r>
      <rPr>
        <sz val="9"/>
        <color rgb="FF1F2A30"/>
        <rFont val="Arial"/>
        <family val="0"/>
        <charset val="1"/>
      </rPr>
      <t xml:space="preserve">'</t>
    </r>
    <r>
      <rPr>
        <sz val="9"/>
        <color rgb="FF1F2A30"/>
        <rFont val="Noto Sans CJK SC"/>
        <family val="2"/>
      </rPr>
      <t xml:space="preserve">是</t>
    </r>
    <r>
      <rPr>
        <sz val="9"/>
        <color rgb="FF1F2A30"/>
        <rFont val="Arial"/>
        <family val="0"/>
        <charset val="1"/>
      </rPr>
      <t xml:space="preserve">'</t>
    </r>
    <r>
      <rPr>
        <sz val="9"/>
        <color rgb="FF1F2A30"/>
        <rFont val="Noto Sans CJK SC"/>
        <family val="2"/>
      </rPr>
      <t xml:space="preserve">，说明溯源系统与覆盖层级。 </t>
    </r>
    <r>
      <rPr>
        <sz val="9"/>
        <color rgb="FF1F2A30"/>
        <rFont val="Arial"/>
        <family val="0"/>
        <charset val="1"/>
      </rPr>
      <t xml:space="preserve">/ Expectation (2025). If "Yes", describe the traceability system and coverage.</t>
    </r>
  </si>
  <si>
    <t xml:space="preserve">E</t>
  </si>
  <si>
    <r>
      <rPr>
        <sz val="9"/>
        <color rgb="FF1F2A30"/>
        <rFont val="Arial"/>
        <family val="0"/>
        <charset val="1"/>
      </rPr>
      <t xml:space="preserve">#35 </t>
    </r>
    <r>
      <rPr>
        <sz val="9"/>
        <color rgb="FF1F2A30"/>
        <rFont val="Noto Sans CJK SC"/>
        <family val="2"/>
      </rPr>
      <t xml:space="preserve">按零件号全链溯源</t>
    </r>
  </si>
  <si>
    <r>
      <rPr>
        <sz val="9"/>
        <color rgb="FF1F2A30"/>
        <rFont val="Arial"/>
        <family val="0"/>
        <charset val="1"/>
      </rPr>
      <t xml:space="preserve">Autoliv </t>
    </r>
    <r>
      <rPr>
        <sz val="9"/>
        <color rgb="FF1F2A30"/>
        <rFont val="Noto Sans CJK SC"/>
        <family val="2"/>
      </rPr>
      <t xml:space="preserve">采购要求 </t>
    </r>
    <r>
      <rPr>
        <sz val="9"/>
        <color rgb="FF1F2A30"/>
        <rFont val="Arial"/>
        <family val="0"/>
        <charset val="1"/>
      </rPr>
      <t xml:space="preserve">#35 · </t>
    </r>
    <r>
      <rPr>
        <sz val="9"/>
        <color rgb="FF1F2A30"/>
        <rFont val="Noto Sans CJK SC"/>
        <family val="2"/>
      </rPr>
      <t xml:space="preserve">吉利（</t>
    </r>
    <r>
      <rPr>
        <sz val="9"/>
        <color rgb="FF1F2A30"/>
        <rFont val="Arial"/>
        <family val="0"/>
        <charset val="1"/>
      </rPr>
      <t xml:space="preserve">GeeTrace </t>
    </r>
    <r>
      <rPr>
        <sz val="9"/>
        <color rgb="FF1F2A30"/>
        <rFont val="Noto Sans CJK SC"/>
        <family val="2"/>
      </rPr>
      <t xml:space="preserve">溯源）</t>
    </r>
  </si>
  <si>
    <t xml:space="preserve">是否建立对上游供应商定期环境（及可持续）考核机制，并要求考核结果较差的供应商限期改善？</t>
  </si>
  <si>
    <t xml:space="preserve">Do you operate a mechanism for regular environmental (and sustainability) assessment of upstream suppliers, requiring underperformers to improve within a deadline?</t>
  </si>
  <si>
    <r>
      <rPr>
        <sz val="9"/>
        <color rgb="FF1F2A30"/>
        <rFont val="Noto Sans CJK SC"/>
        <family val="2"/>
      </rPr>
      <t xml:space="preserve">如果</t>
    </r>
    <r>
      <rPr>
        <sz val="9"/>
        <color rgb="FF1F2A30"/>
        <rFont val="Arial"/>
        <family val="0"/>
        <charset val="1"/>
      </rPr>
      <t xml:space="preserve">'</t>
    </r>
    <r>
      <rPr>
        <sz val="9"/>
        <color rgb="FF1F2A30"/>
        <rFont val="Noto Sans CJK SC"/>
        <family val="2"/>
      </rPr>
      <t xml:space="preserve">是</t>
    </r>
    <r>
      <rPr>
        <sz val="9"/>
        <color rgb="FF1F2A30"/>
        <rFont val="Arial"/>
        <family val="0"/>
        <charset val="1"/>
      </rPr>
      <t xml:space="preserve">'</t>
    </r>
    <r>
      <rPr>
        <sz val="9"/>
        <color rgb="FF1F2A30"/>
        <rFont val="Noto Sans CJK SC"/>
        <family val="2"/>
      </rPr>
      <t xml:space="preserve">，请说明考核频率、指标与末位改善流程。对齐 </t>
    </r>
    <r>
      <rPr>
        <sz val="9"/>
        <color rgb="FF1F2A30"/>
        <rFont val="Arial"/>
        <family val="0"/>
        <charset val="1"/>
      </rPr>
      <t xml:space="preserve">Autoliv #34 </t>
    </r>
    <r>
      <rPr>
        <sz val="9"/>
        <color rgb="FF1F2A30"/>
        <rFont val="Noto Sans CJK SC"/>
        <family val="2"/>
      </rPr>
      <t xml:space="preserve">传导与验证。 </t>
    </r>
    <r>
      <rPr>
        <sz val="9"/>
        <color rgb="FF1F2A30"/>
        <rFont val="Arial"/>
        <family val="0"/>
        <charset val="1"/>
      </rPr>
      <t xml:space="preserve">/ If "Yes", describe frequency, metrics and the underperformer-improvement process.</t>
    </r>
  </si>
  <si>
    <r>
      <rPr>
        <sz val="9"/>
        <color rgb="FF1F2A30"/>
        <rFont val="Arial"/>
        <family val="0"/>
        <charset val="1"/>
      </rPr>
      <t xml:space="preserve">#34 </t>
    </r>
    <r>
      <rPr>
        <sz val="9"/>
        <color rgb="FF1F2A30"/>
        <rFont val="Noto Sans CJK SC"/>
        <family val="2"/>
      </rPr>
      <t xml:space="preserve">向上游传导 </t>
    </r>
    <r>
      <rPr>
        <sz val="9"/>
        <color rgb="FF1F2A30"/>
        <rFont val="Arial"/>
        <family val="0"/>
        <charset val="1"/>
      </rPr>
      <t xml:space="preserve">/ </t>
    </r>
    <r>
      <rPr>
        <sz val="9"/>
        <color rgb="FF1F2A30"/>
        <rFont val="Noto Sans CJK SC"/>
        <family val="2"/>
      </rPr>
      <t xml:space="preserve">供应商考核</t>
    </r>
  </si>
  <si>
    <r>
      <rPr>
        <sz val="9"/>
        <color rgb="FF1F2A30"/>
        <rFont val="Noto Sans CJK SC"/>
        <family val="2"/>
      </rPr>
      <t xml:space="preserve">年度自评 </t>
    </r>
    <r>
      <rPr>
        <sz val="9"/>
        <color rgb="FF1F2A30"/>
        <rFont val="Arial"/>
        <family val="0"/>
        <charset val="1"/>
      </rPr>
      <t xml:space="preserve">Self-assessment</t>
    </r>
  </si>
  <si>
    <r>
      <rPr>
        <sz val="9"/>
        <color rgb="FF1F2A30"/>
        <rFont val="Noto Sans CJK SC"/>
        <family val="2"/>
      </rPr>
      <t xml:space="preserve">是否承诺按 </t>
    </r>
    <r>
      <rPr>
        <sz val="9"/>
        <color rgb="FF1F2A30"/>
        <rFont val="Arial"/>
        <family val="0"/>
        <charset val="1"/>
      </rPr>
      <t xml:space="preserve">Autoliv </t>
    </r>
    <r>
      <rPr>
        <sz val="9"/>
        <color rgb="FF1F2A30"/>
        <rFont val="Noto Sans CJK SC"/>
        <family val="2"/>
      </rPr>
      <t xml:space="preserve">要求 </t>
    </r>
    <r>
      <rPr>
        <sz val="9"/>
        <color rgb="FF1F2A30"/>
        <rFont val="Arial"/>
        <family val="0"/>
        <charset val="1"/>
      </rPr>
      <t xml:space="preserve">100% </t>
    </r>
    <r>
      <rPr>
        <sz val="9"/>
        <color rgb="FF1F2A30"/>
        <rFont val="Noto Sans CJK SC"/>
        <family val="2"/>
      </rPr>
      <t xml:space="preserve">完整完成年度供应商可持续自评问卷（本问卷 </t>
    </r>
    <r>
      <rPr>
        <sz val="9"/>
        <color rgb="FF1F2A30"/>
        <rFont val="Arial"/>
        <family val="0"/>
        <charset val="1"/>
      </rPr>
      <t xml:space="preserve">/ SupplierAssurance-NQC </t>
    </r>
    <r>
      <rPr>
        <sz val="9"/>
        <color rgb="FF1F2A30"/>
        <rFont val="Noto Sans CJK SC"/>
        <family val="2"/>
      </rPr>
      <t xml:space="preserve">平台）？</t>
    </r>
  </si>
  <si>
    <t xml:space="preserve">Do you commit to completing Autoliv's annual supplier sustainability self-assessment (this form / SupplierAssurance-NQC platform) at 100% response?</t>
  </si>
  <si>
    <r>
      <rPr>
        <sz val="9"/>
        <color rgb="FF1F2A30"/>
        <rFont val="Arial"/>
        <family val="0"/>
        <charset val="1"/>
      </rPr>
      <t xml:space="preserve">Requirement</t>
    </r>
    <r>
      <rPr>
        <sz val="9"/>
        <color rgb="FF1F2A30"/>
        <rFont val="Noto Sans CJK SC"/>
        <family val="2"/>
      </rPr>
      <t xml:space="preserve">（</t>
    </r>
    <r>
      <rPr>
        <sz val="9"/>
        <color rgb="FF1F2A30"/>
        <rFont val="Arial"/>
        <family val="0"/>
        <charset val="1"/>
      </rPr>
      <t xml:space="preserve">2023</t>
    </r>
    <r>
      <rPr>
        <sz val="9"/>
        <color rgb="FF1F2A30"/>
        <rFont val="Noto Sans CJK SC"/>
        <family val="2"/>
      </rPr>
      <t xml:space="preserve">）。工具衔接 </t>
    </r>
    <r>
      <rPr>
        <sz val="9"/>
        <color rgb="FF1F2A30"/>
        <rFont val="Arial"/>
        <family val="0"/>
        <charset val="1"/>
      </rPr>
      <t xml:space="preserve">NQC / Drive Sustainability SAQ 5.0</t>
    </r>
    <r>
      <rPr>
        <sz val="9"/>
        <color rgb="FF1F2A30"/>
        <rFont val="Noto Sans CJK SC"/>
        <family val="2"/>
      </rPr>
      <t xml:space="preserve">。 </t>
    </r>
    <r>
      <rPr>
        <sz val="9"/>
        <color rgb="FF1F2A30"/>
        <rFont val="Arial"/>
        <family val="0"/>
        <charset val="1"/>
      </rPr>
      <t xml:space="preserve">/ Requirement (2023). Tool links to NQC / Drive Sustainability SAQ 5.0.</t>
    </r>
  </si>
  <si>
    <r>
      <rPr>
        <sz val="9"/>
        <color rgb="FF1F2A30"/>
        <rFont val="Arial"/>
        <family val="0"/>
        <charset val="1"/>
      </rPr>
      <t xml:space="preserve">#36 </t>
    </r>
    <r>
      <rPr>
        <sz val="9"/>
        <color rgb="FF1F2A30"/>
        <rFont val="Noto Sans CJK SC"/>
        <family val="2"/>
      </rPr>
      <t xml:space="preserve">年度自评（</t>
    </r>
    <r>
      <rPr>
        <sz val="9"/>
        <color rgb="FF1F2A30"/>
        <rFont val="Arial"/>
        <family val="0"/>
        <charset val="1"/>
      </rPr>
      <t xml:space="preserve">100% </t>
    </r>
    <r>
      <rPr>
        <sz val="9"/>
        <color rgb="FF1F2A30"/>
        <rFont val="Noto Sans CJK SC"/>
        <family val="2"/>
      </rPr>
      <t xml:space="preserve">响应）</t>
    </r>
  </si>
  <si>
    <r>
      <rPr>
        <sz val="9"/>
        <color rgb="FF1F2A30"/>
        <rFont val="Arial"/>
        <family val="0"/>
        <charset val="1"/>
      </rPr>
      <t xml:space="preserve">Autoliv </t>
    </r>
    <r>
      <rPr>
        <sz val="9"/>
        <color rgb="FF1F2A30"/>
        <rFont val="Noto Sans CJK SC"/>
        <family val="2"/>
      </rPr>
      <t xml:space="preserve">采购要求 </t>
    </r>
    <r>
      <rPr>
        <sz val="9"/>
        <color rgb="FF1F2A30"/>
        <rFont val="Arial"/>
        <family val="0"/>
        <charset val="1"/>
      </rPr>
      <t xml:space="preserve">#36 · Drive Sustainability SAQ 5.0</t>
    </r>
  </si>
  <si>
    <r>
      <rPr>
        <sz val="9"/>
        <color rgb="FF1F2A30"/>
        <rFont val="Noto Sans CJK SC"/>
        <family val="2"/>
      </rPr>
      <t xml:space="preserve">现场审核 </t>
    </r>
    <r>
      <rPr>
        <sz val="9"/>
        <color rgb="FF1F2A30"/>
        <rFont val="Arial"/>
        <family val="0"/>
        <charset val="1"/>
      </rPr>
      <t xml:space="preserve">Audit</t>
    </r>
  </si>
  <si>
    <r>
      <rPr>
        <sz val="9"/>
        <color rgb="FF1F2A30"/>
        <rFont val="Noto Sans CJK SC"/>
        <family val="2"/>
      </rPr>
      <t xml:space="preserve">是否接受并全力配合 </t>
    </r>
    <r>
      <rPr>
        <sz val="9"/>
        <color rgb="FF1F2A30"/>
        <rFont val="Arial"/>
        <family val="0"/>
        <charset val="1"/>
      </rPr>
      <t xml:space="preserve">Autoliv </t>
    </r>
    <r>
      <rPr>
        <sz val="9"/>
        <color rgb="FF1F2A30"/>
        <rFont val="Noto Sans CJK SC"/>
        <family val="2"/>
      </rPr>
      <t xml:space="preserve">及其授权第三方的现场审核，并对发现项制定与落实纠正措施（每 </t>
    </r>
    <r>
      <rPr>
        <sz val="9"/>
        <color rgb="FF1F2A30"/>
        <rFont val="Arial"/>
        <family val="0"/>
        <charset val="1"/>
      </rPr>
      <t xml:space="preserve">3 </t>
    </r>
    <r>
      <rPr>
        <sz val="9"/>
        <color rgb="FF1F2A30"/>
        <rFont val="Noto Sans CJK SC"/>
        <family val="2"/>
      </rPr>
      <t xml:space="preserve">年或按风险提前）？</t>
    </r>
  </si>
  <si>
    <t xml:space="preserve">Do you accept and fully support on-site audits by Autoliv or its authorized third party, and define/implement corrective actions (every 3 years or earlier by risk)?</t>
  </si>
  <si>
    <r>
      <rPr>
        <sz val="9"/>
        <color rgb="FF1F2A30"/>
        <rFont val="Arial"/>
        <family val="0"/>
        <charset val="1"/>
      </rPr>
      <t xml:space="preserve">Requirement</t>
    </r>
    <r>
      <rPr>
        <sz val="9"/>
        <color rgb="FF1F2A30"/>
        <rFont val="Noto Sans CJK SC"/>
        <family val="2"/>
      </rPr>
      <t xml:space="preserve">（</t>
    </r>
    <r>
      <rPr>
        <sz val="9"/>
        <color rgb="FF1F2A30"/>
        <rFont val="Arial"/>
        <family val="0"/>
        <charset val="1"/>
      </rPr>
      <t xml:space="preserve">2023</t>
    </r>
    <r>
      <rPr>
        <sz val="9"/>
        <color rgb="FF1F2A30"/>
        <rFont val="Noto Sans CJK SC"/>
        <family val="2"/>
      </rPr>
      <t xml:space="preserve">）。 </t>
    </r>
    <r>
      <rPr>
        <sz val="9"/>
        <color rgb="FF1F2A30"/>
        <rFont val="Arial"/>
        <family val="0"/>
        <charset val="1"/>
      </rPr>
      <t xml:space="preserve">/ Requirement (2023).</t>
    </r>
  </si>
  <si>
    <r>
      <rPr>
        <sz val="9"/>
        <color rgb="FF1F2A30"/>
        <rFont val="Arial"/>
        <family val="0"/>
        <charset val="1"/>
      </rPr>
      <t xml:space="preserve">#37 </t>
    </r>
    <r>
      <rPr>
        <sz val="9"/>
        <color rgb="FF1F2A30"/>
        <rFont val="Noto Sans CJK SC"/>
        <family val="2"/>
      </rPr>
      <t xml:space="preserve">配合 </t>
    </r>
    <r>
      <rPr>
        <sz val="9"/>
        <color rgb="FF1F2A30"/>
        <rFont val="Arial"/>
        <family val="0"/>
        <charset val="1"/>
      </rPr>
      <t xml:space="preserve">Autoliv </t>
    </r>
    <r>
      <rPr>
        <sz val="9"/>
        <color rgb="FF1F2A30"/>
        <rFont val="Noto Sans CJK SC"/>
        <family val="2"/>
      </rPr>
      <t xml:space="preserve">现场审核</t>
    </r>
  </si>
  <si>
    <r>
      <rPr>
        <sz val="9"/>
        <color rgb="FF1F2A30"/>
        <rFont val="Arial"/>
        <family val="0"/>
        <charset val="1"/>
      </rPr>
      <t xml:space="preserve">Autoliv </t>
    </r>
    <r>
      <rPr>
        <sz val="9"/>
        <color rgb="FF1F2A30"/>
        <rFont val="Noto Sans CJK SC"/>
        <family val="2"/>
      </rPr>
      <t xml:space="preserve">采购要求 </t>
    </r>
    <r>
      <rPr>
        <sz val="9"/>
        <color rgb="FF1F2A30"/>
        <rFont val="Arial"/>
        <family val="0"/>
        <charset val="1"/>
      </rPr>
      <t xml:space="preserve">#37 · </t>
    </r>
    <r>
      <rPr>
        <sz val="9"/>
        <color rgb="FF1F2A30"/>
        <rFont val="Noto Sans CJK SC"/>
        <family val="2"/>
      </rPr>
      <t xml:space="preserve">蔚来</t>
    </r>
    <r>
      <rPr>
        <sz val="9"/>
        <color rgb="FF1F2A30"/>
        <rFont val="Arial"/>
        <family val="0"/>
        <charset val="1"/>
      </rPr>
      <t xml:space="preserve">(2025</t>
    </r>
    <r>
      <rPr>
        <sz val="9"/>
        <color rgb="FF1F2A30"/>
        <rFont val="Noto Sans CJK SC"/>
        <family val="2"/>
      </rPr>
      <t xml:space="preserve">年</t>
    </r>
    <r>
      <rPr>
        <sz val="9"/>
        <color rgb="FF1F2A30"/>
        <rFont val="Arial"/>
        <family val="0"/>
        <charset val="1"/>
      </rPr>
      <t xml:space="preserve">96</t>
    </r>
    <r>
      <rPr>
        <sz val="9"/>
        <color rgb="FF1F2A30"/>
        <rFont val="Noto Sans CJK SC"/>
        <family val="2"/>
      </rPr>
      <t xml:space="preserve">次现场评审</t>
    </r>
    <r>
      <rPr>
        <sz val="9"/>
        <color rgb="FF1F2A30"/>
        <rFont val="Arial"/>
        <family val="0"/>
        <charset val="1"/>
      </rPr>
      <t xml:space="preserve">)· </t>
    </r>
    <r>
      <rPr>
        <sz val="9"/>
        <color rgb="FF1F2A30"/>
        <rFont val="Noto Sans CJK SC"/>
        <family val="2"/>
      </rPr>
      <t xml:space="preserve">小米</t>
    </r>
    <r>
      <rPr>
        <sz val="9"/>
        <color rgb="FF1F2A30"/>
        <rFont val="Arial"/>
        <family val="0"/>
        <charset val="1"/>
      </rPr>
      <t xml:space="preserve">(611</t>
    </r>
    <r>
      <rPr>
        <sz val="9"/>
        <color rgb="FF1F2A30"/>
        <rFont val="Noto Sans CJK SC"/>
        <family val="2"/>
      </rPr>
      <t xml:space="preserve">家现场审核</t>
    </r>
    <r>
      <rPr>
        <sz val="9"/>
        <color rgb="FF1F2A30"/>
        <rFont val="Arial"/>
        <family val="0"/>
        <charset val="1"/>
      </rPr>
      <t xml:space="preserve">)· RSCI 11 </t>
    </r>
    <r>
      <rPr>
        <sz val="9"/>
        <color rgb="FF1F2A30"/>
        <rFont val="Noto Sans CJK SC"/>
        <family val="2"/>
      </rPr>
      <t xml:space="preserve">模块</t>
    </r>
  </si>
  <si>
    <r>
      <rPr>
        <sz val="9"/>
        <color rgb="FF1F2A30"/>
        <rFont val="Arial"/>
        <family val="0"/>
        <charset val="1"/>
      </rPr>
      <t xml:space="preserve">P2 </t>
    </r>
    <r>
      <rPr>
        <sz val="9"/>
        <color rgb="FF1F2A30"/>
        <rFont val="Noto Sans CJK SC"/>
        <family val="2"/>
      </rPr>
      <t xml:space="preserve">气候中和</t>
    </r>
  </si>
  <si>
    <t xml:space="preserve">管理战略</t>
  </si>
  <si>
    <t xml:space="preserve">是否在工厂发展战略规划、发展理念等管理方针文件中，包含节能减排等相关内容？</t>
  </si>
  <si>
    <t xml:space="preserve">Are energy conservation and GHG-emission reduction included in the factory's development strategy planning, development concept and other management policies?</t>
  </si>
  <si>
    <r>
      <rPr>
        <sz val="9"/>
        <color rgb="FF1F2A30"/>
        <rFont val="Arial"/>
        <family val="0"/>
        <charset val="1"/>
      </rPr>
      <t xml:space="preserve">If “Yes", please specify in column L.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栏描述相关内容。</t>
    </r>
  </si>
  <si>
    <r>
      <rPr>
        <sz val="9"/>
        <color rgb="FF1F2A30"/>
        <rFont val="Arial"/>
        <family val="0"/>
        <charset val="1"/>
      </rPr>
      <t xml:space="preserve">#8 </t>
    </r>
    <r>
      <rPr>
        <sz val="9"/>
        <color rgb="FF1F2A30"/>
        <rFont val="Noto Sans CJK SC"/>
        <family val="2"/>
      </rPr>
      <t xml:space="preserve">全范围</t>
    </r>
    <r>
      <rPr>
        <sz val="9"/>
        <color rgb="FF1F2A30"/>
        <rFont val="Arial"/>
        <family val="0"/>
        <charset val="1"/>
      </rPr>
      <t xml:space="preserve">GHG</t>
    </r>
    <r>
      <rPr>
        <sz val="9"/>
        <color rgb="FF1F2A30"/>
        <rFont val="Noto Sans CJK SC"/>
        <family val="2"/>
      </rPr>
      <t xml:space="preserve">追踪 </t>
    </r>
    <r>
      <rPr>
        <sz val="9"/>
        <color rgb="FF1F2A30"/>
        <rFont val="Arial"/>
        <family val="0"/>
        <charset val="1"/>
      </rPr>
      <t xml:space="preserve">/ #7 </t>
    </r>
    <r>
      <rPr>
        <sz val="9"/>
        <color rgb="FF1F2A30"/>
        <rFont val="Noto Sans CJK SC"/>
        <family val="2"/>
      </rPr>
      <t xml:space="preserve">减排目标</t>
    </r>
  </si>
  <si>
    <r>
      <rPr>
        <sz val="9"/>
        <color rgb="FF1F2A30"/>
        <rFont val="Noto Sans CJK SC"/>
        <family val="2"/>
      </rPr>
      <t xml:space="preserve">是否有（</t>
    </r>
    <r>
      <rPr>
        <sz val="9"/>
        <color rgb="FF1F2A30"/>
        <rFont val="Arial"/>
        <family val="0"/>
        <charset val="1"/>
      </rPr>
      <t xml:space="preserve">1</t>
    </r>
    <r>
      <rPr>
        <sz val="9"/>
        <color rgb="FF1F2A30"/>
        <rFont val="Noto Sans CJK SC"/>
        <family val="2"/>
      </rPr>
      <t xml:space="preserve">）能耗数据统计和（</t>
    </r>
    <r>
      <rPr>
        <sz val="9"/>
        <color rgb="FF1F2A30"/>
        <rFont val="Arial"/>
        <family val="0"/>
        <charset val="1"/>
      </rPr>
      <t xml:space="preserve">2</t>
    </r>
    <r>
      <rPr>
        <sz val="9"/>
        <color rgb="FF1F2A30"/>
        <rFont val="Noto Sans CJK SC"/>
        <family val="2"/>
      </rPr>
      <t xml:space="preserve">）碳排放计算和管理？</t>
    </r>
  </si>
  <si>
    <t xml:space="preserve">Are there: (1) energy consumption data; (2) GHG-emission calculation and management?</t>
  </si>
  <si>
    <r>
      <rPr>
        <sz val="9"/>
        <color rgb="FF1F2A30"/>
        <rFont val="Arial"/>
        <family val="0"/>
        <charset val="1"/>
      </rPr>
      <t xml:space="preserve">If “Yes", please describe the methods of energy consumption and carbon emission calculations in column L.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栏描述如何进行能耗数据统计和碳排放计算。</t>
    </r>
  </si>
  <si>
    <t xml:space="preserve">是否知道碳减排的概念和知识，是否已经或正在制定碳减排的方案？</t>
  </si>
  <si>
    <t xml:space="preserve">Are you familiar with the concept and knowledge of GHG-emission reduction? Is there a GHG-emission reduction scheme developed or under development?</t>
  </si>
  <si>
    <t xml:space="preserve">是否有负责碳排放统计和管理人员？</t>
  </si>
  <si>
    <t xml:space="preserve">Is there personnel responsible for GHG-emission data and management?</t>
  </si>
  <si>
    <r>
      <rPr>
        <sz val="9"/>
        <color rgb="FF1F2A30"/>
        <rFont val="Arial"/>
        <family val="0"/>
        <charset val="1"/>
      </rPr>
      <t xml:space="preserve">If “Yes", please provide the name and title in column L.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栏描述姓名和职位。</t>
    </r>
  </si>
  <si>
    <t xml:space="preserve">是否设立何时达到碳中和目标？</t>
  </si>
  <si>
    <t xml:space="preserve">Is there a target for when to achieve net-zero GHG-emissions?</t>
  </si>
  <si>
    <r>
      <rPr>
        <sz val="9"/>
        <color rgb="FF1F2A30"/>
        <rFont val="Noto Sans CJK SC"/>
        <family val="2"/>
      </rPr>
      <t xml:space="preserve">管理战略 </t>
    </r>
    <r>
      <rPr>
        <sz val="9"/>
        <color rgb="FF1F2A30"/>
        <rFont val="Arial"/>
        <family val="0"/>
        <charset val="1"/>
      </rPr>
      <t xml:space="preserve">Management Strategy</t>
    </r>
  </si>
  <si>
    <r>
      <rPr>
        <sz val="9"/>
        <color rgb="FF1F2A30"/>
        <rFont val="Noto Sans CJK SC"/>
        <family val="2"/>
      </rPr>
      <t xml:space="preserve">减排目标是否已经或计划经科学碳目标倡议（</t>
    </r>
    <r>
      <rPr>
        <sz val="9"/>
        <color rgb="FF1F2A30"/>
        <rFont val="Arial"/>
        <family val="0"/>
        <charset val="1"/>
      </rPr>
      <t xml:space="preserve">SBTi</t>
    </r>
    <r>
      <rPr>
        <sz val="9"/>
        <color rgb="FF1F2A30"/>
        <rFont val="Noto Sans CJK SC"/>
        <family val="2"/>
      </rPr>
      <t xml:space="preserve">）批准（</t>
    </r>
    <r>
      <rPr>
        <sz val="9"/>
        <color rgb="FF1F2A30"/>
        <rFont val="Arial"/>
        <family val="0"/>
        <charset val="1"/>
      </rPr>
      <t xml:space="preserve">2028 </t>
    </r>
    <r>
      <rPr>
        <sz val="9"/>
        <color rgb="FF1F2A30"/>
        <rFont val="Noto Sans CJK SC"/>
        <family val="2"/>
      </rPr>
      <t xml:space="preserve">年前完成；战略供应商可能被提前要求）？</t>
    </r>
  </si>
  <si>
    <t xml:space="preserve">Are your emission-reduction targets approved (or planned) by the Science Based Targets initiative (SBTi), to be completed before 2028?</t>
  </si>
  <si>
    <r>
      <rPr>
        <sz val="9"/>
        <color rgb="FF1F2A30"/>
        <rFont val="Arial"/>
        <family val="0"/>
        <charset val="1"/>
      </rPr>
      <t xml:space="preserve">Expectation</t>
    </r>
    <r>
      <rPr>
        <sz val="9"/>
        <color rgb="FF1F2A30"/>
        <rFont val="Noto Sans CJK SC"/>
        <family val="2"/>
      </rPr>
      <t xml:space="preserve">（</t>
    </r>
    <r>
      <rPr>
        <sz val="9"/>
        <color rgb="FF1F2A30"/>
        <rFont val="Arial"/>
        <family val="0"/>
        <charset val="1"/>
      </rPr>
      <t xml:space="preserve">2028</t>
    </r>
    <r>
      <rPr>
        <sz val="9"/>
        <color rgb="FF1F2A30"/>
        <rFont val="Noto Sans CJK SC"/>
        <family val="2"/>
      </rPr>
      <t xml:space="preserve">）。平台提供 </t>
    </r>
    <r>
      <rPr>
        <sz val="9"/>
        <color rgb="FF1F2A30"/>
        <rFont val="Arial"/>
        <family val="0"/>
        <charset val="1"/>
      </rPr>
      <t xml:space="preserve">SBTi </t>
    </r>
    <r>
      <rPr>
        <sz val="9"/>
        <color rgb="FF1F2A30"/>
        <rFont val="Noto Sans CJK SC"/>
        <family val="2"/>
      </rPr>
      <t xml:space="preserve">辅导课程。 </t>
    </r>
    <r>
      <rPr>
        <sz val="9"/>
        <color rgb="FF1F2A30"/>
        <rFont val="Arial"/>
        <family val="0"/>
        <charset val="1"/>
      </rPr>
      <t xml:space="preserve">/ Expectation (2028). Platform offers SBTi coaching.</t>
    </r>
  </si>
  <si>
    <r>
      <rPr>
        <sz val="9"/>
        <color rgb="FF1F2A30"/>
        <rFont val="Arial"/>
        <family val="0"/>
        <charset val="1"/>
      </rPr>
      <t xml:space="preserve">#5 SBTi </t>
    </r>
    <r>
      <rPr>
        <sz val="9"/>
        <color rgb="FF1F2A30"/>
        <rFont val="Noto Sans CJK SC"/>
        <family val="2"/>
      </rPr>
      <t xml:space="preserve">认证目标</t>
    </r>
  </si>
  <si>
    <r>
      <rPr>
        <sz val="9"/>
        <color rgb="FF1F2A30"/>
        <rFont val="Arial"/>
        <family val="0"/>
        <charset val="1"/>
      </rPr>
      <t xml:space="preserve">Autoliv </t>
    </r>
    <r>
      <rPr>
        <sz val="9"/>
        <color rgb="FF1F2A30"/>
        <rFont val="Noto Sans CJK SC"/>
        <family val="2"/>
      </rPr>
      <t xml:space="preserve">采购要求 </t>
    </r>
    <r>
      <rPr>
        <sz val="9"/>
        <color rgb="FF1F2A30"/>
        <rFont val="Arial"/>
        <family val="0"/>
        <charset val="1"/>
      </rPr>
      <t xml:space="preserve">#5 · </t>
    </r>
    <r>
      <rPr>
        <sz val="9"/>
        <color rgb="FF1F2A30"/>
        <rFont val="Noto Sans CJK SC"/>
        <family val="2"/>
      </rPr>
      <t xml:space="preserve">吉利</t>
    </r>
    <r>
      <rPr>
        <sz val="9"/>
        <color rgb="FF1F2A30"/>
        <rFont val="Arial"/>
        <family val="0"/>
        <charset val="1"/>
      </rPr>
      <t xml:space="preserve">/</t>
    </r>
    <r>
      <rPr>
        <sz val="9"/>
        <color rgb="FF1F2A30"/>
        <rFont val="Noto Sans CJK SC"/>
        <family val="2"/>
      </rPr>
      <t xml:space="preserve">蔚来（已承诺 </t>
    </r>
    <r>
      <rPr>
        <sz val="9"/>
        <color rgb="FF1F2A30"/>
        <rFont val="Arial"/>
        <family val="0"/>
        <charset val="1"/>
      </rPr>
      <t xml:space="preserve">SBTi</t>
    </r>
    <r>
      <rPr>
        <sz val="9"/>
        <color rgb="FF1F2A30"/>
        <rFont val="Noto Sans CJK SC"/>
        <family val="2"/>
      </rPr>
      <t xml:space="preserve">）</t>
    </r>
  </si>
  <si>
    <r>
      <rPr>
        <sz val="9"/>
        <color rgb="FF1F2A30"/>
        <rFont val="Noto Sans CJK SC"/>
        <family val="2"/>
      </rPr>
      <t xml:space="preserve">是否承诺供货 </t>
    </r>
    <r>
      <rPr>
        <sz val="9"/>
        <color rgb="FF1F2A30"/>
        <rFont val="Arial"/>
        <family val="0"/>
        <charset val="1"/>
      </rPr>
      <t xml:space="preserve">Autoliv </t>
    </r>
    <r>
      <rPr>
        <sz val="9"/>
        <color rgb="FF1F2A30"/>
        <rFont val="Noto Sans CJK SC"/>
        <family val="2"/>
      </rPr>
      <t xml:space="preserve">产品的全供应链 </t>
    </r>
    <r>
      <rPr>
        <sz val="9"/>
        <color rgb="FF1F2A30"/>
        <rFont val="Arial"/>
        <family val="0"/>
        <charset val="1"/>
      </rPr>
      <t xml:space="preserve">2040 </t>
    </r>
    <r>
      <rPr>
        <sz val="9"/>
        <color rgb="FF1F2A30"/>
        <rFont val="Noto Sans CJK SC"/>
        <family val="2"/>
      </rPr>
      <t xml:space="preserve">年净零排放，且较 </t>
    </r>
    <r>
      <rPr>
        <sz val="9"/>
        <color rgb="FF1F2A30"/>
        <rFont val="Arial"/>
        <family val="0"/>
        <charset val="1"/>
      </rPr>
      <t xml:space="preserve">2018 </t>
    </r>
    <r>
      <rPr>
        <sz val="9"/>
        <color rgb="FF1F2A30"/>
        <rFont val="Noto Sans CJK SC"/>
        <family val="2"/>
      </rPr>
      <t xml:space="preserve">基年 </t>
    </r>
    <r>
      <rPr>
        <sz val="9"/>
        <color rgb="FF1F2A30"/>
        <rFont val="Arial"/>
        <family val="0"/>
        <charset val="1"/>
      </rPr>
      <t xml:space="preserve">2030 </t>
    </r>
    <r>
      <rPr>
        <sz val="9"/>
        <color rgb="FF1F2A30"/>
        <rFont val="Noto Sans CJK SC"/>
        <family val="2"/>
      </rPr>
      <t xml:space="preserve">年绝对减排（范围一二三）≥</t>
    </r>
    <r>
      <rPr>
        <sz val="9"/>
        <color rgb="FF1F2A30"/>
        <rFont val="Arial"/>
        <family val="0"/>
        <charset val="1"/>
      </rPr>
      <t xml:space="preserve">30%</t>
    </r>
    <r>
      <rPr>
        <sz val="9"/>
        <color rgb="FF1F2A30"/>
        <rFont val="Noto Sans CJK SC"/>
        <family val="2"/>
      </rPr>
      <t xml:space="preserve">？</t>
    </r>
  </si>
  <si>
    <t xml:space="preserve">Have you committed to net-zero across the full supply chain (for products supplied to Autoliv) by 2040, and ≥30% absolute reduction (Scope 1/2/3) by 2030 vs 2018 baseline?</t>
  </si>
  <si>
    <r>
      <rPr>
        <sz val="9"/>
        <color rgb="FF1F2A30"/>
        <rFont val="Arial"/>
        <family val="0"/>
        <charset val="1"/>
      </rPr>
      <t xml:space="preserve">Expectation</t>
    </r>
    <r>
      <rPr>
        <sz val="9"/>
        <color rgb="FF1F2A30"/>
        <rFont val="Noto Sans CJK SC"/>
        <family val="2"/>
      </rPr>
      <t xml:space="preserve">（</t>
    </r>
    <r>
      <rPr>
        <sz val="9"/>
        <color rgb="FF1F2A30"/>
        <rFont val="Arial"/>
        <family val="0"/>
        <charset val="1"/>
      </rPr>
      <t xml:space="preserve">#6/#7</t>
    </r>
    <r>
      <rPr>
        <sz val="9"/>
        <color rgb="FF1F2A30"/>
        <rFont val="Noto Sans CJK SC"/>
        <family val="2"/>
      </rPr>
      <t xml:space="preserve">）。 </t>
    </r>
    <r>
      <rPr>
        <sz val="9"/>
        <color rgb="FF1F2A30"/>
        <rFont val="Arial"/>
        <family val="0"/>
        <charset val="1"/>
      </rPr>
      <t xml:space="preserve">/ Expectation (#6/#7).</t>
    </r>
  </si>
  <si>
    <r>
      <rPr>
        <sz val="9"/>
        <color rgb="FF1F2A30"/>
        <rFont val="Arial"/>
        <family val="0"/>
        <charset val="1"/>
      </rPr>
      <t xml:space="preserve">#6 </t>
    </r>
    <r>
      <rPr>
        <sz val="9"/>
        <color rgb="FF1F2A30"/>
        <rFont val="Noto Sans CJK SC"/>
        <family val="2"/>
      </rPr>
      <t xml:space="preserve">供应链净零 </t>
    </r>
    <r>
      <rPr>
        <sz val="9"/>
        <color rgb="FF1F2A30"/>
        <rFont val="Arial"/>
        <family val="0"/>
        <charset val="1"/>
      </rPr>
      <t xml:space="preserve">2040 / #7 2030 </t>
    </r>
    <r>
      <rPr>
        <sz val="9"/>
        <color rgb="FF1F2A30"/>
        <rFont val="Noto Sans CJK SC"/>
        <family val="2"/>
      </rPr>
      <t xml:space="preserve">绝对减排 ≥</t>
    </r>
    <r>
      <rPr>
        <sz val="9"/>
        <color rgb="FF1F2A30"/>
        <rFont val="Arial"/>
        <family val="0"/>
        <charset val="1"/>
      </rPr>
      <t xml:space="preserve">30%</t>
    </r>
  </si>
  <si>
    <r>
      <rPr>
        <sz val="9"/>
        <color rgb="FF1F2A30"/>
        <rFont val="Arial"/>
        <family val="0"/>
        <charset val="1"/>
      </rPr>
      <t xml:space="preserve">Autoliv </t>
    </r>
    <r>
      <rPr>
        <sz val="9"/>
        <color rgb="FF1F2A30"/>
        <rFont val="Noto Sans CJK SC"/>
        <family val="2"/>
      </rPr>
      <t xml:space="preserve">采购要求 </t>
    </r>
    <r>
      <rPr>
        <sz val="9"/>
        <color rgb="FF1F2A30"/>
        <rFont val="Arial"/>
        <family val="0"/>
        <charset val="1"/>
      </rPr>
      <t xml:space="preserve">#6/#7 · OEM </t>
    </r>
    <r>
      <rPr>
        <sz val="9"/>
        <color rgb="FF1F2A30"/>
        <rFont val="Noto Sans CJK SC"/>
        <family val="2"/>
      </rPr>
      <t xml:space="preserve">净零</t>
    </r>
    <r>
      <rPr>
        <sz val="9"/>
        <color rgb="FF1F2A30"/>
        <rFont val="Arial"/>
        <family val="0"/>
        <charset val="1"/>
      </rPr>
      <t xml:space="preserve">(</t>
    </r>
    <r>
      <rPr>
        <sz val="9"/>
        <color rgb="FF1F2A30"/>
        <rFont val="Noto Sans CJK SC"/>
        <family val="2"/>
      </rPr>
      <t xml:space="preserve">吉利</t>
    </r>
    <r>
      <rPr>
        <sz val="9"/>
        <color rgb="FF1F2A30"/>
        <rFont val="Arial"/>
        <family val="0"/>
        <charset val="1"/>
      </rPr>
      <t xml:space="preserve">/</t>
    </r>
    <r>
      <rPr>
        <sz val="9"/>
        <color rgb="FF1F2A30"/>
        <rFont val="Noto Sans CJK SC"/>
        <family val="2"/>
      </rPr>
      <t xml:space="preserve">长城</t>
    </r>
    <r>
      <rPr>
        <sz val="9"/>
        <color rgb="FF1F2A30"/>
        <rFont val="Arial"/>
        <family val="0"/>
        <charset val="1"/>
      </rPr>
      <t xml:space="preserve">2045·</t>
    </r>
    <r>
      <rPr>
        <sz val="9"/>
        <color rgb="FF1F2A30"/>
        <rFont val="Noto Sans CJK SC"/>
        <family val="2"/>
      </rPr>
      <t xml:space="preserve">长安</t>
    </r>
    <r>
      <rPr>
        <sz val="9"/>
        <color rgb="FF1F2A30"/>
        <rFont val="Arial"/>
        <family val="0"/>
        <charset val="1"/>
      </rPr>
      <t xml:space="preserve">2045</t>
    </r>
    <r>
      <rPr>
        <sz val="9"/>
        <color rgb="FF1F2A30"/>
        <rFont val="Noto Sans CJK SC"/>
        <family val="2"/>
      </rPr>
      <t xml:space="preserve">峰值</t>
    </r>
    <r>
      <rPr>
        <sz val="9"/>
        <color rgb="FF1F2A30"/>
        <rFont val="Arial"/>
        <family val="0"/>
        <charset val="1"/>
      </rPr>
      <t xml:space="preserve">2027·</t>
    </r>
    <r>
      <rPr>
        <sz val="9"/>
        <color rgb="FF1F2A30"/>
        <rFont val="Noto Sans CJK SC"/>
        <family val="2"/>
      </rPr>
      <t xml:space="preserve">奇瑞</t>
    </r>
    <r>
      <rPr>
        <sz val="9"/>
        <color rgb="FF1F2A30"/>
        <rFont val="Arial"/>
        <family val="0"/>
        <charset val="1"/>
      </rPr>
      <t xml:space="preserve">2047·</t>
    </r>
    <r>
      <rPr>
        <sz val="9"/>
        <color rgb="FF1F2A30"/>
        <rFont val="Noto Sans CJK SC"/>
        <family val="2"/>
      </rPr>
      <t xml:space="preserve">小米</t>
    </r>
    <r>
      <rPr>
        <sz val="9"/>
        <color rgb="FF1F2A30"/>
        <rFont val="Arial"/>
        <family val="0"/>
        <charset val="1"/>
      </rPr>
      <t xml:space="preserve">2040</t>
    </r>
    <r>
      <rPr>
        <sz val="9"/>
        <color rgb="FF1F2A30"/>
        <rFont val="Noto Sans CJK SC"/>
        <family val="2"/>
      </rPr>
      <t xml:space="preserve">运营</t>
    </r>
    <r>
      <rPr>
        <sz val="9"/>
        <color rgb="FF1F2A30"/>
        <rFont val="Arial"/>
        <family val="0"/>
        <charset val="1"/>
      </rPr>
      <t xml:space="preserve">)</t>
    </r>
  </si>
  <si>
    <t xml:space="preserve">是否要求上游供应商提供碳排放数据？</t>
  </si>
  <si>
    <t xml:space="preserve">Do you request GHG-emission data from upstream suppliers?</t>
  </si>
  <si>
    <r>
      <rPr>
        <sz val="9"/>
        <color rgb="FF1F2A30"/>
        <rFont val="Arial"/>
        <family val="0"/>
        <charset val="1"/>
      </rPr>
      <t xml:space="preserve">#8 </t>
    </r>
    <r>
      <rPr>
        <sz val="9"/>
        <color rgb="FF1F2A30"/>
        <rFont val="Noto Sans CJK SC"/>
        <family val="2"/>
      </rPr>
      <t xml:space="preserve">全范围</t>
    </r>
    <r>
      <rPr>
        <sz val="9"/>
        <color rgb="FF1F2A30"/>
        <rFont val="Arial"/>
        <family val="0"/>
        <charset val="1"/>
      </rPr>
      <t xml:space="preserve">GHG</t>
    </r>
    <r>
      <rPr>
        <sz val="9"/>
        <color rgb="FF1F2A30"/>
        <rFont val="Noto Sans CJK SC"/>
        <family val="2"/>
      </rPr>
      <t xml:space="preserve">追踪（上游）</t>
    </r>
  </si>
  <si>
    <t xml:space="preserve">设计</t>
  </si>
  <si>
    <t xml:space="preserve">是否在产品设计中用环境影响较小的替代品来替代对环境较大影响的资源？</t>
  </si>
  <si>
    <t xml:space="preserve">Do you substitute resources that have adverse environmental impacts  with less impactful substitutes in your product design?</t>
  </si>
  <si>
    <r>
      <rPr>
        <sz val="9"/>
        <color rgb="FF1F2A30"/>
        <rFont val="Arial"/>
        <family val="0"/>
        <charset val="1"/>
      </rPr>
      <t xml:space="preserve">If “Yes", please provide examples in column L.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栏举例说明。</t>
    </r>
  </si>
  <si>
    <t xml:space="preserve">#2 LCA</t>
  </si>
  <si>
    <r>
      <rPr>
        <sz val="9"/>
        <color rgb="FF1F2A30"/>
        <rFont val="Noto Sans CJK SC"/>
        <family val="2"/>
      </rPr>
      <t xml:space="preserve">生产</t>
    </r>
    <r>
      <rPr>
        <sz val="9"/>
        <color rgb="FF1F2A30"/>
        <rFont val="Arial"/>
        <family val="0"/>
        <charset val="1"/>
      </rPr>
      <t xml:space="preserve">-</t>
    </r>
    <r>
      <rPr>
        <sz val="9"/>
        <color rgb="FF1F2A30"/>
        <rFont val="Noto Sans CJK SC"/>
        <family val="2"/>
      </rPr>
      <t xml:space="preserve">温室气体核算和申报</t>
    </r>
  </si>
  <si>
    <r>
      <rPr>
        <sz val="9"/>
        <color rgb="FF1F2A30"/>
        <rFont val="Noto Sans CJK SC"/>
        <family val="2"/>
      </rPr>
      <t xml:space="preserve">是否对所有主要温室气体（</t>
    </r>
    <r>
      <rPr>
        <sz val="9"/>
        <color rgb="FF1F2A30"/>
        <rFont val="Arial"/>
        <family val="0"/>
        <charset val="1"/>
      </rPr>
      <t xml:space="preserve">CO2, CH4, N2O, HFCs, PFCs, SF6</t>
    </r>
    <r>
      <rPr>
        <sz val="9"/>
        <color rgb="FF1F2A30"/>
        <rFont val="Noto Sans CJK SC"/>
        <family val="2"/>
      </rPr>
      <t xml:space="preserve">）进行核算</t>
    </r>
    <r>
      <rPr>
        <sz val="9"/>
        <color rgb="FF1F2A30"/>
        <rFont val="Arial"/>
        <family val="0"/>
        <charset val="1"/>
      </rPr>
      <t xml:space="preserve">?</t>
    </r>
  </si>
  <si>
    <t xml:space="preserve">Have you conducted accounting on all major greenhouse gases (GHGs) (CO2, CH4, N2O, HFCs, PFCs, SF6)?</t>
  </si>
  <si>
    <r>
      <rPr>
        <sz val="9"/>
        <color rgb="FF1F2A30"/>
        <rFont val="Arial"/>
        <family val="0"/>
        <charset val="1"/>
      </rPr>
      <t xml:space="preserve">If “Yes", please provide in column L: (1) names of GHGs accounted; (2) standards adopted for accounting.  / </t>
    </r>
    <r>
      <rPr>
        <sz val="9"/>
        <color rgb="FF1F2A30"/>
        <rFont val="Noto Sans CJK SC"/>
        <family val="2"/>
      </rPr>
      <t xml:space="preserve">如果‘是’，请</t>
    </r>
    <r>
      <rPr>
        <sz val="9"/>
        <color rgb="FF1F2A30"/>
        <rFont val="Arial"/>
        <family val="0"/>
        <charset val="1"/>
      </rPr>
      <t xml:space="preserve">L</t>
    </r>
    <r>
      <rPr>
        <sz val="9"/>
        <color rgb="FF1F2A30"/>
        <rFont val="Noto Sans CJK SC"/>
        <family val="2"/>
      </rPr>
      <t xml:space="preserve">栏描述</t>
    </r>
    <r>
      <rPr>
        <sz val="9"/>
        <color rgb="FF1F2A30"/>
        <rFont val="Arial"/>
        <family val="0"/>
        <charset val="1"/>
      </rPr>
      <t xml:space="preserve">(1)</t>
    </r>
    <r>
      <rPr>
        <sz val="9"/>
        <color rgb="FF1F2A30"/>
        <rFont val="Noto Sans CJK SC"/>
        <family val="2"/>
      </rPr>
      <t xml:space="preserve">核算何种温室气体</t>
    </r>
    <r>
      <rPr>
        <sz val="9"/>
        <color rgb="FF1F2A30"/>
        <rFont val="Arial"/>
        <family val="0"/>
        <charset val="1"/>
      </rPr>
      <t xml:space="preserve">(2)</t>
    </r>
    <r>
      <rPr>
        <sz val="9"/>
        <color rgb="FF1F2A30"/>
        <rFont val="Noto Sans CJK SC"/>
        <family val="2"/>
      </rPr>
      <t xml:space="preserve">核算所采用的标准名称</t>
    </r>
  </si>
  <si>
    <r>
      <rPr>
        <sz val="9"/>
        <color rgb="FF1F2A30"/>
        <rFont val="Arial"/>
        <family val="0"/>
        <charset val="1"/>
      </rPr>
      <t xml:space="preserve">#8 </t>
    </r>
    <r>
      <rPr>
        <sz val="9"/>
        <color rgb="FF1F2A30"/>
        <rFont val="Noto Sans CJK SC"/>
        <family val="2"/>
      </rPr>
      <t xml:space="preserve">全范围</t>
    </r>
    <r>
      <rPr>
        <sz val="9"/>
        <color rgb="FF1F2A30"/>
        <rFont val="Arial"/>
        <family val="0"/>
        <charset val="1"/>
      </rPr>
      <t xml:space="preserve">GHG</t>
    </r>
    <r>
      <rPr>
        <sz val="9"/>
        <color rgb="FF1F2A30"/>
        <rFont val="Noto Sans CJK SC"/>
        <family val="2"/>
      </rPr>
      <t xml:space="preserve">追踪</t>
    </r>
  </si>
  <si>
    <r>
      <rPr>
        <sz val="9"/>
        <color rgb="FF1F2A30"/>
        <rFont val="Noto Sans CJK SC"/>
        <family val="2"/>
      </rPr>
      <t xml:space="preserve">是否采用国际标准</t>
    </r>
    <r>
      <rPr>
        <sz val="9"/>
        <color rgb="FF1F2A30"/>
        <rFont val="Arial"/>
        <family val="0"/>
        <charset val="1"/>
      </rPr>
      <t xml:space="preserve">/</t>
    </r>
    <r>
      <rPr>
        <sz val="9"/>
        <color rgb="FF1F2A30"/>
        <rFont val="Noto Sans CJK SC"/>
        <family val="2"/>
      </rPr>
      <t xml:space="preserve">国家标准对</t>
    </r>
    <r>
      <rPr>
        <sz val="9"/>
        <color rgb="FF1F2A30"/>
        <rFont val="Arial"/>
        <family val="0"/>
        <charset val="1"/>
      </rPr>
      <t xml:space="preserve">scope 1</t>
    </r>
    <r>
      <rPr>
        <sz val="9"/>
        <color rgb="FF1F2A30"/>
        <rFont val="Noto Sans CJK SC"/>
        <family val="2"/>
      </rPr>
      <t xml:space="preserve">（至少一种温室气体）进行核算？</t>
    </r>
  </si>
  <si>
    <t xml:space="preserve">Have you calculated scope 1 GHG-emission in line with international/national standards?</t>
  </si>
  <si>
    <t xml:space="preserve">If “Yes", please provide in column L: (1) emission in ton CO2e; (2) standards adopted for accounting; (3) emission per unit of production value. / GHG emission per unit of production value can be calculated as: C=A/B, where: / C--GHG emission per unit of production value, in tonCO2e/10000CNY; / A--Calculated scope 2 GHG emissions, in ton CO2e; / B--Production value of the corporate last year, in 10000 CNY</t>
  </si>
  <si>
    <r>
      <rPr>
        <sz val="9"/>
        <color rgb="FF1F2A30"/>
        <rFont val="Noto Sans CJK SC"/>
        <family val="2"/>
      </rPr>
      <t xml:space="preserve">是否采用国际标准</t>
    </r>
    <r>
      <rPr>
        <sz val="9"/>
        <color rgb="FF1F2A30"/>
        <rFont val="Arial"/>
        <family val="0"/>
        <charset val="1"/>
      </rPr>
      <t xml:space="preserve">/</t>
    </r>
    <r>
      <rPr>
        <sz val="9"/>
        <color rgb="FF1F2A30"/>
        <rFont val="Noto Sans CJK SC"/>
        <family val="2"/>
      </rPr>
      <t xml:space="preserve">国家标准对</t>
    </r>
    <r>
      <rPr>
        <sz val="9"/>
        <color rgb="FF1F2A30"/>
        <rFont val="Arial"/>
        <family val="0"/>
        <charset val="1"/>
      </rPr>
      <t xml:space="preserve">scope 2</t>
    </r>
    <r>
      <rPr>
        <sz val="9"/>
        <color rgb="FF1F2A30"/>
        <rFont val="Noto Sans CJK SC"/>
        <family val="2"/>
      </rPr>
      <t xml:space="preserve">（至少一种温室气体）进行核算？</t>
    </r>
  </si>
  <si>
    <t xml:space="preserve">Have you calculated scope 2 GHG-emission in line with international/national standards?</t>
  </si>
  <si>
    <r>
      <rPr>
        <sz val="9"/>
        <color rgb="FF1F2A30"/>
        <rFont val="Noto Sans CJK SC"/>
        <family val="2"/>
      </rPr>
      <t xml:space="preserve">是否采用国际标准</t>
    </r>
    <r>
      <rPr>
        <sz val="9"/>
        <color rgb="FF1F2A30"/>
        <rFont val="Arial"/>
        <family val="0"/>
        <charset val="1"/>
      </rPr>
      <t xml:space="preserve">/</t>
    </r>
    <r>
      <rPr>
        <sz val="9"/>
        <color rgb="FF1F2A30"/>
        <rFont val="Noto Sans CJK SC"/>
        <family val="2"/>
      </rPr>
      <t xml:space="preserve">国家标准对</t>
    </r>
    <r>
      <rPr>
        <sz val="9"/>
        <color rgb="FF1F2A30"/>
        <rFont val="Arial"/>
        <family val="0"/>
        <charset val="1"/>
      </rPr>
      <t xml:space="preserve">Scope 3</t>
    </r>
    <r>
      <rPr>
        <sz val="9"/>
        <color rgb="FF1F2A30"/>
        <rFont val="Noto Sans CJK SC"/>
        <family val="2"/>
      </rPr>
      <t xml:space="preserve">的温室气体（至少一种温室气体）进行核算？</t>
    </r>
  </si>
  <si>
    <t xml:space="preserve">Have you calculated scope 3 GHG-emission in line with international/national standards?</t>
  </si>
  <si>
    <r>
      <rPr>
        <sz val="9"/>
        <color rgb="FF1F2A30"/>
        <rFont val="Arial"/>
        <family val="0"/>
        <charset val="1"/>
      </rPr>
      <t xml:space="preserve">If “Yes", please provide in column L: (1) emission in ton CO2e; (2) standards adopted for accounting. / Scope 3 refers to all indirect emissions other than scope 2 that occur in the company's value chain, which are generated in related to the company's business but the emission sources are not owned or controlled by the company.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t>
    </r>
    <r>
      <rPr>
        <sz val="9"/>
        <color rgb="FF1F2A30"/>
        <rFont val="Arial"/>
        <family val="0"/>
        <charset val="1"/>
      </rPr>
      <t xml:space="preserve">(1)</t>
    </r>
    <r>
      <rPr>
        <sz val="9"/>
        <color rgb="FF1F2A30"/>
        <rFont val="Noto Sans CJK SC"/>
        <family val="2"/>
      </rPr>
      <t xml:space="preserve">排放量（单位</t>
    </r>
    <r>
      <rPr>
        <sz val="9"/>
        <color rgb="FF1F2A30"/>
        <rFont val="Arial"/>
        <family val="0"/>
        <charset val="1"/>
      </rPr>
      <t xml:space="preserve">ton CO2e</t>
    </r>
    <r>
      <rPr>
        <sz val="9"/>
        <color rgb="FF1F2A30"/>
        <rFont val="Noto Sans CJK SC"/>
        <family val="2"/>
      </rPr>
      <t xml:space="preserve">）；</t>
    </r>
    <r>
      <rPr>
        <sz val="9"/>
        <color rgb="FF1F2A30"/>
        <rFont val="Arial"/>
        <family val="0"/>
        <charset val="1"/>
      </rPr>
      <t xml:space="preserve">(2)</t>
    </r>
    <r>
      <rPr>
        <sz val="9"/>
        <color rgb="FF1F2A30"/>
        <rFont val="Noto Sans CJK SC"/>
        <family val="2"/>
      </rPr>
      <t xml:space="preserve">核算所采用的标准名称 </t>
    </r>
    <r>
      <rPr>
        <sz val="9"/>
        <color rgb="FF1F2A30"/>
        <rFont val="Arial"/>
        <family val="0"/>
        <charset val="1"/>
      </rPr>
      <t xml:space="preserve">/ Scope3</t>
    </r>
    <r>
      <rPr>
        <sz val="9"/>
        <color rgb="FF1F2A30"/>
        <rFont val="Noto Sans CJK SC"/>
        <family val="2"/>
      </rPr>
      <t xml:space="preserve">是指所有不属于</t>
    </r>
    <r>
      <rPr>
        <sz val="9"/>
        <color rgb="FF1F2A30"/>
        <rFont val="Arial"/>
        <family val="0"/>
        <charset val="1"/>
      </rPr>
      <t xml:space="preserve">Scope2</t>
    </r>
    <r>
      <rPr>
        <sz val="9"/>
        <color rgb="FF1F2A30"/>
        <rFont val="Noto Sans CJK SC"/>
        <family val="2"/>
      </rPr>
      <t xml:space="preserve">的间接排放，</t>
    </r>
  </si>
  <si>
    <r>
      <rPr>
        <sz val="9"/>
        <color rgb="FF1F2A30"/>
        <rFont val="Noto Sans CJK SC"/>
        <family val="2"/>
      </rPr>
      <t xml:space="preserve">是否采用适用标准（如 </t>
    </r>
    <r>
      <rPr>
        <sz val="9"/>
        <color rgb="FF1F2A30"/>
        <rFont val="Arial"/>
        <family val="0"/>
        <charset val="1"/>
      </rPr>
      <t xml:space="preserve">ISO 14067</t>
    </r>
    <r>
      <rPr>
        <sz val="9"/>
        <color rgb="FF1F2A30"/>
        <rFont val="Noto Sans CJK SC"/>
        <family val="2"/>
      </rPr>
      <t xml:space="preserve">）对交付 </t>
    </r>
    <r>
      <rPr>
        <sz val="9"/>
        <color rgb="FF1F2A30"/>
        <rFont val="Arial"/>
        <family val="0"/>
        <charset val="1"/>
      </rPr>
      <t xml:space="preserve">Autoliv </t>
    </r>
    <r>
      <rPr>
        <sz val="9"/>
        <color rgb="FF1F2A30"/>
        <rFont val="Noto Sans CJK SC"/>
        <family val="2"/>
      </rPr>
      <t xml:space="preserve">的产品进行产品碳足迹（</t>
    </r>
    <r>
      <rPr>
        <sz val="9"/>
        <color rgb="FF1F2A30"/>
        <rFont val="Arial"/>
        <family val="0"/>
        <charset val="1"/>
      </rPr>
      <t xml:space="preserve">PCF</t>
    </r>
    <r>
      <rPr>
        <sz val="9"/>
        <color rgb="FF1F2A30"/>
        <rFont val="Noto Sans CJK SC"/>
        <family val="2"/>
      </rPr>
      <t xml:space="preserve">）核算或核查？</t>
    </r>
  </si>
  <si>
    <t xml:space="preserve">Have you accounted/verified the Product Carbon Footprint (PCF) of products supplied to Autoliv using applicable standards (e.g. ISO 14067)?</t>
  </si>
  <si>
    <r>
      <rPr>
        <sz val="9"/>
        <color rgb="FF1F2A30"/>
        <rFont val="Noto Sans CJK SC"/>
        <family val="2"/>
      </rPr>
      <t xml:space="preserve">如果</t>
    </r>
    <r>
      <rPr>
        <sz val="9"/>
        <color rgb="FF1F2A30"/>
        <rFont val="Arial"/>
        <family val="0"/>
        <charset val="1"/>
      </rPr>
      <t xml:space="preserve">'</t>
    </r>
    <r>
      <rPr>
        <sz val="9"/>
        <color rgb="FF1F2A30"/>
        <rFont val="Noto Sans CJK SC"/>
        <family val="2"/>
      </rPr>
      <t xml:space="preserve">是</t>
    </r>
    <r>
      <rPr>
        <sz val="9"/>
        <color rgb="FF1F2A30"/>
        <rFont val="Arial"/>
        <family val="0"/>
        <charset val="1"/>
      </rPr>
      <t xml:space="preserve">'</t>
    </r>
    <r>
      <rPr>
        <sz val="9"/>
        <color rgb="FF1F2A30"/>
        <rFont val="Noto Sans CJK SC"/>
        <family val="2"/>
      </rPr>
      <t xml:space="preserve">，请提供：</t>
    </r>
    <r>
      <rPr>
        <sz val="9"/>
        <color rgb="FF1F2A30"/>
        <rFont val="Arial"/>
        <family val="0"/>
        <charset val="1"/>
      </rPr>
      <t xml:space="preserve">(1) </t>
    </r>
    <r>
      <rPr>
        <sz val="9"/>
        <color rgb="FF1F2A30"/>
        <rFont val="Noto Sans CJK SC"/>
        <family val="2"/>
      </rPr>
      <t xml:space="preserve">排放量（</t>
    </r>
    <r>
      <rPr>
        <sz val="9"/>
        <color rgb="FF1F2A30"/>
        <rFont val="Arial"/>
        <family val="0"/>
        <charset val="1"/>
      </rPr>
      <t xml:space="preserve">tCO2e </t>
    </r>
    <r>
      <rPr>
        <sz val="9"/>
        <color rgb="FF1F2A30"/>
        <rFont val="Noto Sans CJK SC"/>
        <family val="2"/>
      </rPr>
      <t xml:space="preserve">或 </t>
    </r>
    <r>
      <rPr>
        <sz val="9"/>
        <color rgb="FF1F2A30"/>
        <rFont val="Arial"/>
        <family val="0"/>
        <charset val="1"/>
      </rPr>
      <t xml:space="preserve">kgCO2e</t>
    </r>
    <r>
      <rPr>
        <sz val="9"/>
        <color rgb="FF1F2A30"/>
        <rFont val="Noto Sans CJK SC"/>
        <family val="2"/>
      </rPr>
      <t xml:space="preserve">，标明单位）；</t>
    </r>
    <r>
      <rPr>
        <sz val="9"/>
        <color rgb="FF1F2A30"/>
        <rFont val="Arial"/>
        <family val="0"/>
        <charset val="1"/>
      </rPr>
      <t xml:space="preserve">(2) </t>
    </r>
    <r>
      <rPr>
        <sz val="9"/>
        <color rgb="FF1F2A30"/>
        <rFont val="Noto Sans CJK SC"/>
        <family val="2"/>
      </rPr>
      <t xml:space="preserve">采用标准。与 </t>
    </r>
    <r>
      <rPr>
        <sz val="9"/>
        <color rgb="FF1F2A30"/>
        <rFont val="Arial"/>
        <family val="0"/>
        <charset val="1"/>
      </rPr>
      <t xml:space="preserve">Autoliv </t>
    </r>
    <r>
      <rPr>
        <sz val="9"/>
        <color rgb="FF1F2A30"/>
        <rFont val="Noto Sans CJK SC"/>
        <family val="2"/>
      </rPr>
      <t xml:space="preserve">新要求 </t>
    </r>
    <r>
      <rPr>
        <sz val="9"/>
        <color rgb="FF1F2A30"/>
        <rFont val="Arial"/>
        <family val="0"/>
        <charset val="1"/>
      </rPr>
      <t xml:space="preserve">#3 </t>
    </r>
    <r>
      <rPr>
        <sz val="9"/>
        <color rgb="FF1F2A30"/>
        <rFont val="Noto Sans CJK SC"/>
        <family val="2"/>
      </rPr>
      <t xml:space="preserve">衔接。 </t>
    </r>
    <r>
      <rPr>
        <sz val="9"/>
        <color rgb="FF1F2A30"/>
        <rFont val="Arial"/>
        <family val="0"/>
        <charset val="1"/>
      </rPr>
      <t xml:space="preserve">/ If "Yes", provide emission with unit and the standard adopted. Links to Autoliv new requirement #3.</t>
    </r>
  </si>
  <si>
    <r>
      <rPr>
        <sz val="9"/>
        <color rgb="FF1F2A30"/>
        <rFont val="Arial"/>
        <family val="0"/>
        <charset val="1"/>
      </rPr>
      <t xml:space="preserve">#3 </t>
    </r>
    <r>
      <rPr>
        <sz val="9"/>
        <color rgb="FF1F2A30"/>
        <rFont val="Noto Sans CJK SC"/>
        <family val="2"/>
      </rPr>
      <t xml:space="preserve">产品碳足迹 </t>
    </r>
    <r>
      <rPr>
        <sz val="9"/>
        <color rgb="FF1F2A30"/>
        <rFont val="Arial"/>
        <family val="0"/>
        <charset val="1"/>
      </rPr>
      <t xml:space="preserve">PCF</t>
    </r>
  </si>
  <si>
    <r>
      <rPr>
        <sz val="9"/>
        <color rgb="FF1F2A30"/>
        <rFont val="Noto Sans CJK SC"/>
        <family val="2"/>
      </rPr>
      <t xml:space="preserve">生产</t>
    </r>
    <r>
      <rPr>
        <sz val="9"/>
        <color rgb="FF1F2A30"/>
        <rFont val="Arial"/>
        <family val="0"/>
        <charset val="1"/>
      </rPr>
      <t xml:space="preserve">-</t>
    </r>
    <r>
      <rPr>
        <sz val="9"/>
        <color rgb="FF1F2A30"/>
        <rFont val="Noto Sans CJK SC"/>
        <family val="2"/>
      </rPr>
      <t xml:space="preserve">温室气体核算和申报 </t>
    </r>
    <r>
      <rPr>
        <sz val="9"/>
        <color rgb="FF1F2A30"/>
        <rFont val="Arial"/>
        <family val="0"/>
        <charset val="1"/>
      </rPr>
      <t xml:space="preserve">GHG Accounting</t>
    </r>
  </si>
  <si>
    <r>
      <rPr>
        <sz val="9"/>
        <color rgb="FF1F2A30"/>
        <rFont val="Noto Sans CJK SC"/>
        <family val="2"/>
      </rPr>
      <t xml:space="preserve">是否能按 </t>
    </r>
    <r>
      <rPr>
        <sz val="9"/>
        <color rgb="FF1F2A30"/>
        <rFont val="Arial"/>
        <family val="0"/>
        <charset val="1"/>
      </rPr>
      <t xml:space="preserve">ISO 14067 + GHG Protocol + Catena-X Carbon Rulebook </t>
    </r>
    <r>
      <rPr>
        <sz val="9"/>
        <color rgb="FF1F2A30"/>
        <rFont val="Noto Sans CJK SC"/>
        <family val="2"/>
      </rPr>
      <t xml:space="preserve">核算交付 </t>
    </r>
    <r>
      <rPr>
        <sz val="9"/>
        <color rgb="FF1F2A30"/>
        <rFont val="Arial"/>
        <family val="0"/>
        <charset val="1"/>
      </rPr>
      <t xml:space="preserve">Autoliv </t>
    </r>
    <r>
      <rPr>
        <sz val="9"/>
        <color rgb="FF1F2A30"/>
        <rFont val="Noto Sans CJK SC"/>
        <family val="2"/>
      </rPr>
      <t xml:space="preserve">产品的</t>
    </r>
    <r>
      <rPr>
        <sz val="9"/>
        <color rgb="FF1F2A30"/>
        <rFont val="Arial"/>
        <family val="0"/>
        <charset val="1"/>
      </rPr>
      <t xml:space="preserve">"</t>
    </r>
    <r>
      <rPr>
        <sz val="9"/>
        <color rgb="FF1F2A30"/>
        <rFont val="Noto Sans CJK SC"/>
        <family val="2"/>
      </rPr>
      <t xml:space="preserve">从摇篮到 </t>
    </r>
    <r>
      <rPr>
        <sz val="9"/>
        <color rgb="FF1F2A30"/>
        <rFont val="Arial"/>
        <family val="0"/>
        <charset val="1"/>
      </rPr>
      <t xml:space="preserve">Autoliv </t>
    </r>
    <r>
      <rPr>
        <sz val="9"/>
        <color rgb="FF1F2A30"/>
        <rFont val="Noto Sans CJK SC"/>
        <family val="2"/>
      </rPr>
      <t xml:space="preserve">大门</t>
    </r>
    <r>
      <rPr>
        <sz val="9"/>
        <color rgb="FF1F2A30"/>
        <rFont val="Arial"/>
        <family val="0"/>
        <charset val="1"/>
      </rPr>
      <t xml:space="preserve">"</t>
    </r>
    <r>
      <rPr>
        <sz val="9"/>
        <color rgb="FF1F2A30"/>
        <rFont val="Noto Sans CJK SC"/>
        <family val="2"/>
      </rPr>
      <t xml:space="preserve">产品碳足迹（</t>
    </r>
    <r>
      <rPr>
        <sz val="9"/>
        <color rgb="FF1F2A30"/>
        <rFont val="Arial"/>
        <family val="0"/>
        <charset val="1"/>
      </rPr>
      <t xml:space="preserve">PCF</t>
    </r>
    <r>
      <rPr>
        <sz val="9"/>
        <color rgb="FF1F2A30"/>
        <rFont val="Noto Sans CJK SC"/>
        <family val="2"/>
      </rPr>
      <t xml:space="preserve">），并支持 </t>
    </r>
    <r>
      <rPr>
        <sz val="9"/>
        <color rgb="FF1F2A30"/>
        <rFont val="Arial"/>
        <family val="0"/>
        <charset val="1"/>
      </rPr>
      <t xml:space="preserve">ALV GHG </t>
    </r>
    <r>
      <rPr>
        <sz val="9"/>
        <color rgb="FF1F2A30"/>
        <rFont val="Noto Sans CJK SC"/>
        <family val="2"/>
      </rPr>
      <t xml:space="preserve">申报 </t>
    </r>
    <r>
      <rPr>
        <sz val="9"/>
        <color rgb="FF1F2A30"/>
        <rFont val="Arial"/>
        <family val="0"/>
        <charset val="1"/>
      </rPr>
      <t xml:space="preserve">/ CBAM / IMDS </t>
    </r>
    <r>
      <rPr>
        <sz val="9"/>
        <color rgb="FF1F2A30"/>
        <rFont val="Noto Sans CJK SC"/>
        <family val="2"/>
      </rPr>
      <t xml:space="preserve">报送？</t>
    </r>
  </si>
  <si>
    <t xml:space="preserve">Can you calculate the cradle-to-Autoliv-gate Product Carbon Footprint (PCF) per ISO 14067 + GHG Protocol + Catena-X Carbon Rulebook, supporting ALV GHG declaration / CBAM / IMDS reporting?</t>
  </si>
  <si>
    <r>
      <rPr>
        <sz val="9"/>
        <color rgb="FF1F2A30"/>
        <rFont val="Noto Sans CJK SC"/>
        <family val="2"/>
      </rPr>
      <t xml:space="preserve">新要求 </t>
    </r>
    <r>
      <rPr>
        <sz val="9"/>
        <color rgb="FF1F2A30"/>
        <rFont val="Arial"/>
        <family val="0"/>
        <charset val="1"/>
      </rPr>
      <t xml:space="preserve">New Requirement</t>
    </r>
    <r>
      <rPr>
        <sz val="9"/>
        <color rgb="FF1F2A30"/>
        <rFont val="Noto Sans CJK SC"/>
        <family val="2"/>
      </rPr>
      <t xml:space="preserve">（</t>
    </r>
    <r>
      <rPr>
        <sz val="9"/>
        <color rgb="FF1F2A30"/>
        <rFont val="Arial"/>
        <family val="0"/>
        <charset val="1"/>
      </rPr>
      <t xml:space="preserve">2025</t>
    </r>
    <r>
      <rPr>
        <sz val="9"/>
        <color rgb="FF1F2A30"/>
        <rFont val="Noto Sans CJK SC"/>
        <family val="2"/>
      </rPr>
      <t xml:space="preserve">）。 </t>
    </r>
    <r>
      <rPr>
        <sz val="9"/>
        <color rgb="FF1F2A30"/>
        <rFont val="Arial"/>
        <family val="0"/>
        <charset val="1"/>
      </rPr>
      <t xml:space="preserve">/ New Requirement (2025).</t>
    </r>
  </si>
  <si>
    <t xml:space="preserve">N</t>
  </si>
  <si>
    <r>
      <rPr>
        <sz val="9"/>
        <color rgb="FF1F2A30"/>
        <rFont val="Arial"/>
        <family val="0"/>
        <charset val="1"/>
      </rPr>
      <t xml:space="preserve">#3 </t>
    </r>
    <r>
      <rPr>
        <sz val="9"/>
        <color rgb="FF1F2A30"/>
        <rFont val="Noto Sans CJK SC"/>
        <family val="2"/>
      </rPr>
      <t xml:space="preserve">产品碳足迹 </t>
    </r>
    <r>
      <rPr>
        <sz val="9"/>
        <color rgb="FF1F2A30"/>
        <rFont val="Arial"/>
        <family val="0"/>
        <charset val="1"/>
      </rPr>
      <t xml:space="preserve">PCF</t>
    </r>
    <r>
      <rPr>
        <sz val="9"/>
        <color rgb="FF1F2A30"/>
        <rFont val="Noto Sans CJK SC"/>
        <family val="2"/>
      </rPr>
      <t xml:space="preserve">（新要求）</t>
    </r>
  </si>
  <si>
    <r>
      <rPr>
        <sz val="9"/>
        <color rgb="FF1F2A30"/>
        <rFont val="Arial"/>
        <family val="0"/>
        <charset val="1"/>
      </rPr>
      <t xml:space="preserve">Autoliv </t>
    </r>
    <r>
      <rPr>
        <sz val="9"/>
        <color rgb="FF1F2A30"/>
        <rFont val="Noto Sans CJK SC"/>
        <family val="2"/>
      </rPr>
      <t xml:space="preserve">采购要求 </t>
    </r>
    <r>
      <rPr>
        <sz val="9"/>
        <color rgb="FF1F2A30"/>
        <rFont val="Arial"/>
        <family val="0"/>
        <charset val="1"/>
      </rPr>
      <t xml:space="preserve">#3</t>
    </r>
  </si>
  <si>
    <t xml:space="preserve">以上温室气体核算是否有第三方认证？</t>
  </si>
  <si>
    <t xml:space="preserve">Is there third party certification for the above GHG-accounting?</t>
  </si>
  <si>
    <r>
      <rPr>
        <sz val="9"/>
        <color rgb="FF1F2A30"/>
        <rFont val="Arial"/>
        <family val="0"/>
        <charset val="1"/>
      </rPr>
      <t xml:space="preserve">If “Yes", please provide in column L: (1) name of certificate; (2) scope; (3) certifying party.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t>
    </r>
    <r>
      <rPr>
        <sz val="9"/>
        <color rgb="FF1F2A30"/>
        <rFont val="Arial"/>
        <family val="0"/>
        <charset val="1"/>
      </rPr>
      <t xml:space="preserve">(1)</t>
    </r>
    <r>
      <rPr>
        <sz val="9"/>
        <color rgb="FF1F2A30"/>
        <rFont val="Noto Sans CJK SC"/>
        <family val="2"/>
      </rPr>
      <t xml:space="preserve">证书名称；</t>
    </r>
    <r>
      <rPr>
        <sz val="9"/>
        <color rgb="FF1F2A30"/>
        <rFont val="Arial"/>
        <family val="0"/>
        <charset val="1"/>
      </rPr>
      <t xml:space="preserve">(2)</t>
    </r>
    <r>
      <rPr>
        <sz val="9"/>
        <color rgb="FF1F2A30"/>
        <rFont val="Noto Sans CJK SC"/>
        <family val="2"/>
      </rPr>
      <t xml:space="preserve">涉及的温室气体审核范围；</t>
    </r>
    <r>
      <rPr>
        <sz val="9"/>
        <color rgb="FF1F2A30"/>
        <rFont val="Arial"/>
        <family val="0"/>
        <charset val="1"/>
      </rPr>
      <t xml:space="preserve">(3)</t>
    </r>
    <r>
      <rPr>
        <sz val="9"/>
        <color rgb="FF1F2A30"/>
        <rFont val="Noto Sans CJK SC"/>
        <family val="2"/>
      </rPr>
      <t xml:space="preserve">颁发机构</t>
    </r>
  </si>
  <si>
    <r>
      <rPr>
        <sz val="9"/>
        <color rgb="FF1F2A30"/>
        <rFont val="Arial"/>
        <family val="0"/>
        <charset val="1"/>
      </rPr>
      <t xml:space="preserve">#8 GHG</t>
    </r>
    <r>
      <rPr>
        <sz val="9"/>
        <color rgb="FF1F2A30"/>
        <rFont val="Noto Sans CJK SC"/>
        <family val="2"/>
      </rPr>
      <t xml:space="preserve">追踪 </t>
    </r>
    <r>
      <rPr>
        <sz val="9"/>
        <color rgb="FF1F2A30"/>
        <rFont val="Arial"/>
        <family val="0"/>
        <charset val="1"/>
      </rPr>
      <t xml:space="preserve">/ </t>
    </r>
    <r>
      <rPr>
        <sz val="9"/>
        <color rgb="FF1F2A30"/>
        <rFont val="Noto Sans CJK SC"/>
        <family val="2"/>
      </rPr>
      <t xml:space="preserve">披露</t>
    </r>
  </si>
  <si>
    <t xml:space="preserve">对供应链的温室气体设置过减排目标？</t>
  </si>
  <si>
    <t xml:space="preserve">Have you set targets for reducing GHG-emissions in your supply chain?</t>
  </si>
  <si>
    <r>
      <rPr>
        <sz val="9"/>
        <color rgb="FF1F2A30"/>
        <rFont val="Arial"/>
        <family val="0"/>
        <charset val="1"/>
      </rPr>
      <t xml:space="preserve">If “Yes", please describe the targets in column L. / </t>
    </r>
    <r>
      <rPr>
        <sz val="9"/>
        <color rgb="FF1F2A30"/>
        <rFont val="Noto Sans CJK SC"/>
        <family val="2"/>
      </rPr>
      <t xml:space="preserve">如果‘是’，请</t>
    </r>
    <r>
      <rPr>
        <sz val="9"/>
        <color rgb="FF1F2A30"/>
        <rFont val="Arial"/>
        <family val="0"/>
        <charset val="1"/>
      </rPr>
      <t xml:space="preserve">L</t>
    </r>
    <r>
      <rPr>
        <sz val="9"/>
        <color rgb="FF1F2A30"/>
        <rFont val="Noto Sans CJK SC"/>
        <family val="2"/>
      </rPr>
      <t xml:space="preserve">栏描述供应链减排目标。</t>
    </r>
  </si>
  <si>
    <r>
      <rPr>
        <sz val="9"/>
        <color rgb="FF1F2A30"/>
        <rFont val="Noto Sans CJK SC"/>
        <family val="2"/>
      </rPr>
      <t xml:space="preserve">是否在</t>
    </r>
    <r>
      <rPr>
        <sz val="9"/>
        <color rgb="FF1F2A30"/>
        <rFont val="Arial"/>
        <family val="0"/>
        <charset val="1"/>
      </rPr>
      <t xml:space="preserve">CDP/</t>
    </r>
    <r>
      <rPr>
        <sz val="9"/>
        <color rgb="FF1F2A30"/>
        <rFont val="Noto Sans CJK SC"/>
        <family val="2"/>
      </rPr>
      <t xml:space="preserve">政府网站等公共平台上公开温室气体排放数据？</t>
    </r>
  </si>
  <si>
    <t xml:space="preserve">Are your GHG-emission data available on public platforms such as CDP/ government websites?</t>
  </si>
  <si>
    <r>
      <rPr>
        <sz val="9"/>
        <color rgb="FF1F2A30"/>
        <rFont val="Arial"/>
        <family val="0"/>
        <charset val="1"/>
      </rPr>
      <t xml:space="preserve">If “Yes", please provide the website links in column L.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栏提供相关网站链接。</t>
    </r>
  </si>
  <si>
    <r>
      <rPr>
        <sz val="9"/>
        <color rgb="FF1F2A30"/>
        <rFont val="Noto Sans CJK SC"/>
        <family val="2"/>
      </rPr>
      <t xml:space="preserve">生产</t>
    </r>
    <r>
      <rPr>
        <sz val="9"/>
        <color rgb="FF1F2A30"/>
        <rFont val="Arial"/>
        <family val="0"/>
        <charset val="1"/>
      </rPr>
      <t xml:space="preserve">-</t>
    </r>
    <r>
      <rPr>
        <sz val="9"/>
        <color rgb="FF1F2A30"/>
        <rFont val="Noto Sans CJK SC"/>
        <family val="2"/>
      </rPr>
      <t xml:space="preserve">可再生能源使用 </t>
    </r>
    <r>
      <rPr>
        <sz val="9"/>
        <color rgb="FF1F2A30"/>
        <rFont val="Arial"/>
        <family val="0"/>
        <charset val="1"/>
      </rPr>
      <t xml:space="preserve">Renewable Energy</t>
    </r>
  </si>
  <si>
    <r>
      <rPr>
        <sz val="9"/>
        <color rgb="FF1F2A30"/>
        <rFont val="Noto Sans CJK SC"/>
        <family val="2"/>
      </rPr>
      <t xml:space="preserve">申报的绿电比例是否有合规凭证支持（</t>
    </r>
    <r>
      <rPr>
        <sz val="9"/>
        <color rgb="FF1F2A30"/>
        <rFont val="Arial"/>
        <family val="0"/>
        <charset val="1"/>
      </rPr>
      <t xml:space="preserve">EAC/REC/I-REC/GO </t>
    </r>
    <r>
      <rPr>
        <sz val="9"/>
        <color rgb="FF1F2A30"/>
        <rFont val="Noto Sans CJK SC"/>
        <family val="2"/>
      </rPr>
      <t xml:space="preserve">或 </t>
    </r>
    <r>
      <rPr>
        <sz val="9"/>
        <color rgb="FF1F2A30"/>
        <rFont val="Arial"/>
        <family val="0"/>
        <charset val="1"/>
      </rPr>
      <t xml:space="preserve">PPA</t>
    </r>
    <r>
      <rPr>
        <sz val="9"/>
        <color rgb="FF1F2A30"/>
        <rFont val="Noto Sans CJK SC"/>
        <family val="2"/>
      </rPr>
      <t xml:space="preserve">，当年退役、注明电量与来源）？注：电网平均绿电占比与核电不计入。</t>
    </r>
  </si>
  <si>
    <t xml:space="preserve">Is your declared renewable-electricity share backed by compliant certificates (EAC/REC/I-REC/GO or PPA, retired in-year, stating volume &amp; origin)? Grid-average renewable share and nuclear do NOT count.</t>
  </si>
  <si>
    <r>
      <rPr>
        <sz val="9"/>
        <color rgb="FF1F2A30"/>
        <rFont val="Arial"/>
        <family val="0"/>
        <charset val="1"/>
      </rPr>
      <t xml:space="preserve">Requirement</t>
    </r>
    <r>
      <rPr>
        <sz val="9"/>
        <color rgb="FF1F2A30"/>
        <rFont val="Noto Sans CJK SC"/>
        <family val="2"/>
      </rPr>
      <t xml:space="preserve">（</t>
    </r>
    <r>
      <rPr>
        <sz val="9"/>
        <color rgb="FF1F2A30"/>
        <rFont val="Arial"/>
        <family val="0"/>
        <charset val="1"/>
      </rPr>
      <t xml:space="preserve">2023</t>
    </r>
    <r>
      <rPr>
        <sz val="9"/>
        <color rgb="FF1F2A30"/>
        <rFont val="Noto Sans CJK SC"/>
        <family val="2"/>
      </rPr>
      <t xml:space="preserve">）。平台提供绿电绿证管理。 </t>
    </r>
    <r>
      <rPr>
        <sz val="9"/>
        <color rgb="FF1F2A30"/>
        <rFont val="Arial"/>
        <family val="0"/>
        <charset val="1"/>
      </rPr>
      <t xml:space="preserve">/ Requirement (2023). Platform offers green-power / REC management.</t>
    </r>
  </si>
  <si>
    <r>
      <rPr>
        <sz val="9"/>
        <color rgb="FF1F2A30"/>
        <rFont val="Arial"/>
        <family val="0"/>
        <charset val="1"/>
      </rPr>
      <t xml:space="preserve">#16 </t>
    </r>
    <r>
      <rPr>
        <sz val="9"/>
        <color rgb="FF1F2A30"/>
        <rFont val="Noto Sans CJK SC"/>
        <family val="2"/>
      </rPr>
      <t xml:space="preserve">绿电比例申报（凭证合规）</t>
    </r>
  </si>
  <si>
    <r>
      <rPr>
        <sz val="9"/>
        <color rgb="FF1F2A30"/>
        <rFont val="Arial"/>
        <family val="0"/>
        <charset val="1"/>
      </rPr>
      <t xml:space="preserve">Autoliv </t>
    </r>
    <r>
      <rPr>
        <sz val="9"/>
        <color rgb="FF1F2A30"/>
        <rFont val="Noto Sans CJK SC"/>
        <family val="2"/>
      </rPr>
      <t xml:space="preserve">采购要求 </t>
    </r>
    <r>
      <rPr>
        <sz val="9"/>
        <color rgb="FF1F2A30"/>
        <rFont val="Arial"/>
        <family val="0"/>
        <charset val="1"/>
      </rPr>
      <t xml:space="preserve">#16</t>
    </r>
  </si>
  <si>
    <r>
      <rPr>
        <sz val="9"/>
        <color rgb="FF1F2A30"/>
        <rFont val="Noto Sans CJK SC"/>
        <family val="2"/>
      </rPr>
      <t xml:space="preserve">是否已承诺 </t>
    </r>
    <r>
      <rPr>
        <sz val="9"/>
        <color rgb="FF1F2A30"/>
        <rFont val="Arial"/>
        <family val="0"/>
        <charset val="1"/>
      </rPr>
      <t xml:space="preserve">Autoliv </t>
    </r>
    <r>
      <rPr>
        <sz val="9"/>
        <color rgb="FF1F2A30"/>
        <rFont val="Noto Sans CJK SC"/>
        <family val="2"/>
      </rPr>
      <t xml:space="preserve">绿电路线图——自身用电 </t>
    </r>
    <r>
      <rPr>
        <sz val="9"/>
        <color rgb="FF1F2A30"/>
        <rFont val="Arial"/>
        <family val="0"/>
        <charset val="1"/>
      </rPr>
      <t xml:space="preserve">2025 </t>
    </r>
    <r>
      <rPr>
        <sz val="9"/>
        <color rgb="FF1F2A30"/>
        <rFont val="Noto Sans CJK SC"/>
        <family val="2"/>
      </rPr>
      <t xml:space="preserve">年 ≥</t>
    </r>
    <r>
      <rPr>
        <sz val="9"/>
        <color rgb="FF1F2A30"/>
        <rFont val="Arial"/>
        <family val="0"/>
        <charset val="1"/>
      </rPr>
      <t xml:space="preserve">30%</t>
    </r>
    <r>
      <rPr>
        <sz val="9"/>
        <color rgb="FF1F2A30"/>
        <rFont val="Noto Sans CJK SC"/>
        <family val="2"/>
      </rPr>
      <t xml:space="preserve">、</t>
    </r>
    <r>
      <rPr>
        <sz val="9"/>
        <color rgb="FF1F2A30"/>
        <rFont val="Arial"/>
        <family val="0"/>
        <charset val="1"/>
      </rPr>
      <t xml:space="preserve">2027 </t>
    </r>
    <r>
      <rPr>
        <sz val="9"/>
        <color rgb="FF1F2A30"/>
        <rFont val="Noto Sans CJK SC"/>
        <family val="2"/>
      </rPr>
      <t xml:space="preserve">年 ≥</t>
    </r>
    <r>
      <rPr>
        <sz val="9"/>
        <color rgb="FF1F2A30"/>
        <rFont val="Arial"/>
        <family val="0"/>
        <charset val="1"/>
      </rPr>
      <t xml:space="preserve">60%</t>
    </r>
    <r>
      <rPr>
        <sz val="9"/>
        <color rgb="FF1F2A30"/>
        <rFont val="Noto Sans CJK SC"/>
        <family val="2"/>
      </rPr>
      <t xml:space="preserve">、</t>
    </r>
    <r>
      <rPr>
        <sz val="9"/>
        <color rgb="FF1F2A30"/>
        <rFont val="Arial"/>
        <family val="0"/>
        <charset val="1"/>
      </rPr>
      <t xml:space="preserve">2030 </t>
    </r>
    <r>
      <rPr>
        <sz val="9"/>
        <color rgb="FF1F2A30"/>
        <rFont val="Noto Sans CJK SC"/>
        <family val="2"/>
      </rPr>
      <t xml:space="preserve">年 </t>
    </r>
    <r>
      <rPr>
        <sz val="9"/>
        <color rgb="FF1F2A30"/>
        <rFont val="Arial"/>
        <family val="0"/>
        <charset val="1"/>
      </rPr>
      <t xml:space="preserve">100%</t>
    </r>
    <r>
      <rPr>
        <sz val="9"/>
        <color rgb="FF1F2A30"/>
        <rFont val="Noto Sans CJK SC"/>
        <family val="2"/>
      </rPr>
      <t xml:space="preserve">，并要求上游 </t>
    </r>
    <r>
      <rPr>
        <sz val="9"/>
        <color rgb="FF1F2A30"/>
        <rFont val="Arial"/>
        <family val="0"/>
        <charset val="1"/>
      </rPr>
      <t xml:space="preserve">Tier-N </t>
    </r>
    <r>
      <rPr>
        <sz val="9"/>
        <color rgb="FF1F2A30"/>
        <rFont val="Noto Sans CJK SC"/>
        <family val="2"/>
      </rPr>
      <t xml:space="preserve">同步承诺？</t>
    </r>
  </si>
  <si>
    <t xml:space="preserve">Have you committed to Autoliv's green-power trajectory — ≥30% by 2025, ≥60% by 2027, 100% by 2030 — and required Tier-N upstream to commit likewise?</t>
  </si>
  <si>
    <r>
      <rPr>
        <sz val="9"/>
        <color rgb="FF1F2A30"/>
        <rFont val="Arial"/>
        <family val="0"/>
        <charset val="1"/>
      </rPr>
      <t xml:space="preserve">Expectation</t>
    </r>
    <r>
      <rPr>
        <sz val="9"/>
        <color rgb="FF1F2A30"/>
        <rFont val="Noto Sans CJK SC"/>
        <family val="2"/>
      </rPr>
      <t xml:space="preserve">（</t>
    </r>
    <r>
      <rPr>
        <sz val="9"/>
        <color rgb="FF1F2A30"/>
        <rFont val="Arial"/>
        <family val="0"/>
        <charset val="1"/>
      </rPr>
      <t xml:space="preserve">#17-19</t>
    </r>
    <r>
      <rPr>
        <sz val="9"/>
        <color rgb="FF1F2A30"/>
        <rFont val="Noto Sans CJK SC"/>
        <family val="2"/>
      </rPr>
      <t xml:space="preserve">）。 </t>
    </r>
    <r>
      <rPr>
        <sz val="9"/>
        <color rgb="FF1F2A30"/>
        <rFont val="Arial"/>
        <family val="0"/>
        <charset val="1"/>
      </rPr>
      <t xml:space="preserve">/ Expectation (#17-19).</t>
    </r>
  </si>
  <si>
    <r>
      <rPr>
        <sz val="9"/>
        <color rgb="FF1F2A30"/>
        <rFont val="Arial"/>
        <family val="0"/>
        <charset val="1"/>
      </rPr>
      <t xml:space="preserve">#17–#20 </t>
    </r>
    <r>
      <rPr>
        <sz val="9"/>
        <color rgb="FF1F2A30"/>
        <rFont val="Noto Sans CJK SC"/>
        <family val="2"/>
      </rPr>
      <t xml:space="preserve">绿电路线图</t>
    </r>
  </si>
  <si>
    <r>
      <rPr>
        <sz val="9"/>
        <color rgb="FF1F2A30"/>
        <rFont val="Arial"/>
        <family val="0"/>
        <charset val="1"/>
      </rPr>
      <t xml:space="preserve">Autoliv </t>
    </r>
    <r>
      <rPr>
        <sz val="9"/>
        <color rgb="FF1F2A30"/>
        <rFont val="Noto Sans CJK SC"/>
        <family val="2"/>
      </rPr>
      <t xml:space="preserve">采购要求 </t>
    </r>
    <r>
      <rPr>
        <sz val="9"/>
        <color rgb="FF1F2A30"/>
        <rFont val="Arial"/>
        <family val="0"/>
        <charset val="1"/>
      </rPr>
      <t xml:space="preserve">#17-20 · </t>
    </r>
    <r>
      <rPr>
        <sz val="9"/>
        <color rgb="FF1F2A30"/>
        <rFont val="Noto Sans CJK SC"/>
        <family val="2"/>
      </rPr>
      <t xml:space="preserve">奇瑞</t>
    </r>
    <r>
      <rPr>
        <sz val="9"/>
        <color rgb="FF1F2A30"/>
        <rFont val="Arial"/>
        <family val="0"/>
        <charset val="1"/>
      </rPr>
      <t xml:space="preserve">(</t>
    </r>
    <r>
      <rPr>
        <sz val="9"/>
        <color rgb="FF1F2A30"/>
        <rFont val="Noto Sans CJK SC"/>
        <family val="2"/>
      </rPr>
      <t xml:space="preserve">核心</t>
    </r>
    <r>
      <rPr>
        <sz val="9"/>
        <color rgb="FF1F2A30"/>
        <rFont val="Arial"/>
        <family val="0"/>
        <charset val="1"/>
      </rPr>
      <t xml:space="preserve">T1 2030</t>
    </r>
    <r>
      <rPr>
        <sz val="9"/>
        <color rgb="FF1F2A30"/>
        <rFont val="Noto Sans CJK SC"/>
        <family val="2"/>
      </rPr>
      <t xml:space="preserve">绿电≥</t>
    </r>
    <r>
      <rPr>
        <sz val="9"/>
        <color rgb="FF1F2A30"/>
        <rFont val="Arial"/>
        <family val="0"/>
        <charset val="1"/>
      </rPr>
      <t xml:space="preserve">60%)· </t>
    </r>
    <r>
      <rPr>
        <sz val="9"/>
        <color rgb="FF1F2A30"/>
        <rFont val="Noto Sans CJK SC"/>
        <family val="2"/>
      </rPr>
      <t xml:space="preserve">吉利</t>
    </r>
    <r>
      <rPr>
        <sz val="9"/>
        <color rgb="FF1F2A30"/>
        <rFont val="Arial"/>
        <family val="0"/>
        <charset val="1"/>
      </rPr>
      <t xml:space="preserve">(2025 100%)· </t>
    </r>
    <r>
      <rPr>
        <sz val="9"/>
        <color rgb="FF1F2A30"/>
        <rFont val="Noto Sans CJK SC"/>
        <family val="2"/>
      </rPr>
      <t xml:space="preserve">小米</t>
    </r>
    <r>
      <rPr>
        <sz val="9"/>
        <color rgb="FF1F2A30"/>
        <rFont val="Arial"/>
        <family val="0"/>
        <charset val="1"/>
      </rPr>
      <t xml:space="preserve">(</t>
    </r>
    <r>
      <rPr>
        <sz val="9"/>
        <color rgb="FF1F2A30"/>
        <rFont val="Noto Sans CJK SC"/>
        <family val="2"/>
      </rPr>
      <t xml:space="preserve">链</t>
    </r>
    <r>
      <rPr>
        <sz val="9"/>
        <color rgb="FF1F2A30"/>
        <rFont val="Arial"/>
        <family val="0"/>
        <charset val="1"/>
      </rPr>
      <t xml:space="preserve">T1 2025</t>
    </r>
    <r>
      <rPr>
        <sz val="9"/>
        <color rgb="FF1F2A30"/>
        <rFont val="Noto Sans CJK SC"/>
        <family val="2"/>
      </rPr>
      <t xml:space="preserve">目标</t>
    </r>
    <r>
      <rPr>
        <sz val="9"/>
        <color rgb="FF1F2A30"/>
        <rFont val="Arial"/>
        <family val="0"/>
        <charset val="1"/>
      </rPr>
      <t xml:space="preserve">50%+)</t>
    </r>
  </si>
  <si>
    <r>
      <rPr>
        <sz val="9"/>
        <color rgb="FF1F2A30"/>
        <rFont val="Noto Sans CJK SC"/>
        <family val="2"/>
      </rPr>
      <t xml:space="preserve">生产</t>
    </r>
    <r>
      <rPr>
        <sz val="9"/>
        <color rgb="FF1F2A30"/>
        <rFont val="Arial"/>
        <family val="0"/>
        <charset val="1"/>
      </rPr>
      <t xml:space="preserve">-</t>
    </r>
    <r>
      <rPr>
        <sz val="9"/>
        <color rgb="FF1F2A30"/>
        <rFont val="Noto Sans CJK SC"/>
        <family val="2"/>
      </rPr>
      <t xml:space="preserve">可再生能源使用</t>
    </r>
  </si>
  <si>
    <r>
      <rPr>
        <sz val="9"/>
        <color rgb="FF1F2A30"/>
        <rFont val="Noto Sans CJK SC"/>
        <family val="2"/>
      </rPr>
      <t xml:space="preserve">过去一年工厂所消耗的能源来自可再生能源电力的比例大于 </t>
    </r>
    <r>
      <rPr>
        <sz val="9"/>
        <color rgb="FF1F2A30"/>
        <rFont val="Arial"/>
        <family val="0"/>
        <charset val="1"/>
      </rPr>
      <t xml:space="preserve">5%</t>
    </r>
    <r>
      <rPr>
        <sz val="9"/>
        <color rgb="FF1F2A30"/>
        <rFont val="Noto Sans CJK SC"/>
        <family val="2"/>
      </rPr>
      <t xml:space="preserve">？</t>
    </r>
  </si>
  <si>
    <t xml:space="preserve">Did renewable energy account for more than 5% of the factory's total energy consumption in the past year?</t>
  </si>
  <si>
    <t xml:space="preserve">If “Yes", please provide in column L: (1) current types of energy used and types of renewable energy; (2) consumption of electricity from renewable sources. / This item is applicable to renewable power projects directly used by the factory and renewable power purchased under contracts signed with the power generation company. The renewable energy includes hydropower, wind power, solar power, etc., b</t>
  </si>
  <si>
    <r>
      <rPr>
        <sz val="9"/>
        <color rgb="FF1F2A30"/>
        <rFont val="Arial"/>
        <family val="0"/>
        <charset val="1"/>
      </rPr>
      <t xml:space="preserve">#16–#20 </t>
    </r>
    <r>
      <rPr>
        <sz val="9"/>
        <color rgb="FF1F2A30"/>
        <rFont val="Noto Sans CJK SC"/>
        <family val="2"/>
      </rPr>
      <t xml:space="preserve">绿电比例与凭证</t>
    </r>
  </si>
  <si>
    <r>
      <rPr>
        <sz val="9"/>
        <color rgb="FF1F2A30"/>
        <rFont val="Arial"/>
        <family val="0"/>
        <charset val="1"/>
      </rPr>
      <t xml:space="preserve">Polestar SSI</t>
    </r>
    <r>
      <rPr>
        <sz val="9"/>
        <color rgb="FF1F2A30"/>
        <rFont val="Noto Sans CJK SC"/>
        <family val="2"/>
      </rPr>
      <t xml:space="preserve">（基准）</t>
    </r>
    <r>
      <rPr>
        <sz val="9"/>
        <color rgb="FF1F2A30"/>
        <rFont val="Arial"/>
        <family val="0"/>
        <charset val="1"/>
      </rPr>
      <t xml:space="preserve">· </t>
    </r>
    <r>
      <rPr>
        <sz val="9"/>
        <color rgb="FF1F2A30"/>
        <rFont val="Noto Sans CJK SC"/>
        <family val="2"/>
      </rPr>
      <t xml:space="preserve">奇瑞</t>
    </r>
    <r>
      <rPr>
        <sz val="9"/>
        <color rgb="FF1F2A30"/>
        <rFont val="Arial"/>
        <family val="0"/>
        <charset val="1"/>
      </rPr>
      <t xml:space="preserve">/</t>
    </r>
    <r>
      <rPr>
        <sz val="9"/>
        <color rgb="FF1F2A30"/>
        <rFont val="Noto Sans CJK SC"/>
        <family val="2"/>
      </rPr>
      <t xml:space="preserve">吉利</t>
    </r>
    <r>
      <rPr>
        <sz val="9"/>
        <color rgb="FF1F2A30"/>
        <rFont val="Arial"/>
        <family val="0"/>
        <charset val="1"/>
      </rPr>
      <t xml:space="preserve">/</t>
    </r>
    <r>
      <rPr>
        <sz val="9"/>
        <color rgb="FF1F2A30"/>
        <rFont val="Noto Sans CJK SC"/>
        <family val="2"/>
      </rPr>
      <t xml:space="preserve">小米（绿电路线图）</t>
    </r>
  </si>
  <si>
    <r>
      <rPr>
        <sz val="9"/>
        <color rgb="FF1F2A30"/>
        <rFont val="Noto Sans CJK SC"/>
        <family val="2"/>
      </rPr>
      <t xml:space="preserve">过去一年生产场所消耗的能源来自可再生能源电力的比例大于 </t>
    </r>
    <r>
      <rPr>
        <sz val="9"/>
        <color rgb="FF1F2A30"/>
        <rFont val="Arial"/>
        <family val="0"/>
        <charset val="1"/>
      </rPr>
      <t xml:space="preserve">10%</t>
    </r>
    <r>
      <rPr>
        <sz val="9"/>
        <color rgb="FF1F2A30"/>
        <rFont val="Noto Sans CJK SC"/>
        <family val="2"/>
      </rPr>
      <t xml:space="preserve">？</t>
    </r>
  </si>
  <si>
    <t xml:space="preserve">Did renewable energy account for more than 10% of the factory's total energy consumption in the past year?</t>
  </si>
  <si>
    <r>
      <rPr>
        <sz val="9"/>
        <color rgb="FF1F2A30"/>
        <rFont val="Arial"/>
        <family val="0"/>
        <charset val="1"/>
      </rPr>
      <t xml:space="preserve">If "Yes", please make sure you also choose "Yes" for Question 18. / </t>
    </r>
    <r>
      <rPr>
        <sz val="9"/>
        <color rgb="FF1F2A30"/>
        <rFont val="Noto Sans CJK SC"/>
        <family val="2"/>
      </rPr>
      <t xml:space="preserve">如果“是“</t>
    </r>
    <r>
      <rPr>
        <sz val="9"/>
        <color rgb="FF1F2A30"/>
        <rFont val="Arial"/>
        <family val="0"/>
        <charset val="1"/>
      </rPr>
      <t xml:space="preserve">, </t>
    </r>
    <r>
      <rPr>
        <sz val="9"/>
        <color rgb="FF1F2A30"/>
        <rFont val="Noto Sans CJK SC"/>
        <family val="2"/>
      </rPr>
      <t xml:space="preserve">请确保在问题</t>
    </r>
    <r>
      <rPr>
        <sz val="9"/>
        <color rgb="FF1F2A30"/>
        <rFont val="Arial"/>
        <family val="0"/>
        <charset val="1"/>
      </rPr>
      <t xml:space="preserve">18</t>
    </r>
    <r>
      <rPr>
        <sz val="9"/>
        <color rgb="FF1F2A30"/>
        <rFont val="Noto Sans CJK SC"/>
        <family val="2"/>
      </rPr>
      <t xml:space="preserve">的回答为</t>
    </r>
    <r>
      <rPr>
        <sz val="9"/>
        <color rgb="FF1F2A30"/>
        <rFont val="Arial"/>
        <family val="0"/>
        <charset val="1"/>
      </rPr>
      <t xml:space="preserve">"</t>
    </r>
    <r>
      <rPr>
        <sz val="9"/>
        <color rgb="FF1F2A30"/>
        <rFont val="Noto Sans CJK SC"/>
        <family val="2"/>
      </rPr>
      <t xml:space="preserve">是</t>
    </r>
    <r>
      <rPr>
        <sz val="9"/>
        <color rgb="FF1F2A30"/>
        <rFont val="Arial"/>
        <family val="0"/>
        <charset val="1"/>
      </rPr>
      <t xml:space="preserve">"</t>
    </r>
    <r>
      <rPr>
        <sz val="9"/>
        <color rgb="FF1F2A30"/>
        <rFont val="Noto Sans CJK SC"/>
        <family val="2"/>
      </rPr>
      <t xml:space="preserve">。</t>
    </r>
  </si>
  <si>
    <r>
      <rPr>
        <sz val="9"/>
        <color rgb="FF1F2A30"/>
        <rFont val="Noto Sans CJK SC"/>
        <family val="2"/>
      </rPr>
      <t xml:space="preserve">过去一年生产场所消耗的能源来自可再生能源电力的比例大于 </t>
    </r>
    <r>
      <rPr>
        <sz val="9"/>
        <color rgb="FF1F2A30"/>
        <rFont val="Arial"/>
        <family val="0"/>
        <charset val="1"/>
      </rPr>
      <t xml:space="preserve">40%?</t>
    </r>
  </si>
  <si>
    <t xml:space="preserve">Did renewable energy account for more than 40% of the factory's total energy consumption in the past year?</t>
  </si>
  <si>
    <r>
      <rPr>
        <sz val="9"/>
        <color rgb="FF1F2A30"/>
        <rFont val="Arial"/>
        <family val="0"/>
        <charset val="1"/>
      </rPr>
      <t xml:space="preserve">If "Yes", please make sure you also choose "Yes" for Question 18 and 19. / </t>
    </r>
    <r>
      <rPr>
        <sz val="9"/>
        <color rgb="FF1F2A30"/>
        <rFont val="Noto Sans CJK SC"/>
        <family val="2"/>
      </rPr>
      <t xml:space="preserve">如果“是“</t>
    </r>
    <r>
      <rPr>
        <sz val="9"/>
        <color rgb="FF1F2A30"/>
        <rFont val="Arial"/>
        <family val="0"/>
        <charset val="1"/>
      </rPr>
      <t xml:space="preserve">, </t>
    </r>
    <r>
      <rPr>
        <sz val="9"/>
        <color rgb="FF1F2A30"/>
        <rFont val="Noto Sans CJK SC"/>
        <family val="2"/>
      </rPr>
      <t xml:space="preserve">请确保在问题</t>
    </r>
    <r>
      <rPr>
        <sz val="9"/>
        <color rgb="FF1F2A30"/>
        <rFont val="Arial"/>
        <family val="0"/>
        <charset val="1"/>
      </rPr>
      <t xml:space="preserve">18</t>
    </r>
    <r>
      <rPr>
        <sz val="9"/>
        <color rgb="FF1F2A30"/>
        <rFont val="Noto Sans CJK SC"/>
        <family val="2"/>
      </rPr>
      <t xml:space="preserve">及问题</t>
    </r>
    <r>
      <rPr>
        <sz val="9"/>
        <color rgb="FF1F2A30"/>
        <rFont val="Arial"/>
        <family val="0"/>
        <charset val="1"/>
      </rPr>
      <t xml:space="preserve">19</t>
    </r>
    <r>
      <rPr>
        <sz val="9"/>
        <color rgb="FF1F2A30"/>
        <rFont val="Noto Sans CJK SC"/>
        <family val="2"/>
      </rPr>
      <t xml:space="preserve">的回答为</t>
    </r>
    <r>
      <rPr>
        <sz val="9"/>
        <color rgb="FF1F2A30"/>
        <rFont val="Arial"/>
        <family val="0"/>
        <charset val="1"/>
      </rPr>
      <t xml:space="preserve">"</t>
    </r>
    <r>
      <rPr>
        <sz val="9"/>
        <color rgb="FF1F2A30"/>
        <rFont val="Noto Sans CJK SC"/>
        <family val="2"/>
      </rPr>
      <t xml:space="preserve">是</t>
    </r>
    <r>
      <rPr>
        <sz val="9"/>
        <color rgb="FF1F2A30"/>
        <rFont val="Arial"/>
        <family val="0"/>
        <charset val="1"/>
      </rPr>
      <t xml:space="preserve">"</t>
    </r>
    <r>
      <rPr>
        <sz val="9"/>
        <color rgb="FF1F2A30"/>
        <rFont val="Noto Sans CJK SC"/>
        <family val="2"/>
      </rPr>
      <t xml:space="preserve">。</t>
    </r>
  </si>
  <si>
    <r>
      <rPr>
        <sz val="9"/>
        <color rgb="FF1F2A30"/>
        <rFont val="Noto Sans CJK SC"/>
        <family val="2"/>
      </rPr>
      <t xml:space="preserve">过去一年生产场所消耗的能源来自可再生能源电力的比例大于 </t>
    </r>
    <r>
      <rPr>
        <sz val="9"/>
        <color rgb="FF1F2A30"/>
        <rFont val="Arial"/>
        <family val="0"/>
        <charset val="1"/>
      </rPr>
      <t xml:space="preserve">80%?</t>
    </r>
  </si>
  <si>
    <t xml:space="preserve">Did the factory obtain more than 80% of the consumed energy from renewable sources in the past year?</t>
  </si>
  <si>
    <r>
      <rPr>
        <sz val="9"/>
        <color rgb="FF1F2A30"/>
        <rFont val="Arial"/>
        <family val="0"/>
        <charset val="1"/>
      </rPr>
      <t xml:space="preserve">If "Yes", please make sure you also choose "Yes" for Question18, 19 and 20. / </t>
    </r>
    <r>
      <rPr>
        <sz val="9"/>
        <color rgb="FF1F2A30"/>
        <rFont val="Noto Sans CJK SC"/>
        <family val="2"/>
      </rPr>
      <t xml:space="preserve">如果“是“</t>
    </r>
    <r>
      <rPr>
        <sz val="9"/>
        <color rgb="FF1F2A30"/>
        <rFont val="Arial"/>
        <family val="0"/>
        <charset val="1"/>
      </rPr>
      <t xml:space="preserve">, </t>
    </r>
    <r>
      <rPr>
        <sz val="9"/>
        <color rgb="FF1F2A30"/>
        <rFont val="Noto Sans CJK SC"/>
        <family val="2"/>
      </rPr>
      <t xml:space="preserve">请确保在问题</t>
    </r>
    <r>
      <rPr>
        <sz val="9"/>
        <color rgb="FF1F2A30"/>
        <rFont val="Arial"/>
        <family val="0"/>
        <charset val="1"/>
      </rPr>
      <t xml:space="preserve">18, </t>
    </r>
    <r>
      <rPr>
        <sz val="9"/>
        <color rgb="FF1F2A30"/>
        <rFont val="Noto Sans CJK SC"/>
        <family val="2"/>
      </rPr>
      <t xml:space="preserve">问题</t>
    </r>
    <r>
      <rPr>
        <sz val="9"/>
        <color rgb="FF1F2A30"/>
        <rFont val="Arial"/>
        <family val="0"/>
        <charset val="1"/>
      </rPr>
      <t xml:space="preserve">19</t>
    </r>
    <r>
      <rPr>
        <sz val="9"/>
        <color rgb="FF1F2A30"/>
        <rFont val="Noto Sans CJK SC"/>
        <family val="2"/>
      </rPr>
      <t xml:space="preserve">及问题</t>
    </r>
    <r>
      <rPr>
        <sz val="9"/>
        <color rgb="FF1F2A30"/>
        <rFont val="Arial"/>
        <family val="0"/>
        <charset val="1"/>
      </rPr>
      <t xml:space="preserve">20</t>
    </r>
    <r>
      <rPr>
        <sz val="9"/>
        <color rgb="FF1F2A30"/>
        <rFont val="Noto Sans CJK SC"/>
        <family val="2"/>
      </rPr>
      <t xml:space="preserve">的回答为</t>
    </r>
    <r>
      <rPr>
        <sz val="9"/>
        <color rgb="FF1F2A30"/>
        <rFont val="Arial"/>
        <family val="0"/>
        <charset val="1"/>
      </rPr>
      <t xml:space="preserve">"</t>
    </r>
    <r>
      <rPr>
        <sz val="9"/>
        <color rgb="FF1F2A30"/>
        <rFont val="Noto Sans CJK SC"/>
        <family val="2"/>
      </rPr>
      <t xml:space="preserve">是</t>
    </r>
    <r>
      <rPr>
        <sz val="9"/>
        <color rgb="FF1F2A30"/>
        <rFont val="Arial"/>
        <family val="0"/>
        <charset val="1"/>
      </rPr>
      <t xml:space="preserve">"</t>
    </r>
    <r>
      <rPr>
        <sz val="9"/>
        <color rgb="FF1F2A30"/>
        <rFont val="Noto Sans CJK SC"/>
        <family val="2"/>
      </rPr>
      <t xml:space="preserve">。</t>
    </r>
  </si>
  <si>
    <r>
      <rPr>
        <sz val="9"/>
        <color rgb="FF1F2A30"/>
        <rFont val="Noto Sans CJK SC"/>
        <family val="2"/>
      </rPr>
      <t xml:space="preserve">在未来</t>
    </r>
    <r>
      <rPr>
        <sz val="9"/>
        <color rgb="FF1F2A30"/>
        <rFont val="Arial"/>
        <family val="0"/>
        <charset val="1"/>
      </rPr>
      <t xml:space="preserve">3</t>
    </r>
    <r>
      <rPr>
        <sz val="9"/>
        <color rgb="FF1F2A30"/>
        <rFont val="Noto Sans CJK SC"/>
        <family val="2"/>
      </rPr>
      <t xml:space="preserve">年内是否有计划提升可再生能源的比例 ？注：可再生能源占比如果已经为</t>
    </r>
    <r>
      <rPr>
        <sz val="9"/>
        <color rgb="FF1F2A30"/>
        <rFont val="Arial"/>
        <family val="0"/>
        <charset val="1"/>
      </rPr>
      <t xml:space="preserve">100%</t>
    </r>
    <r>
      <rPr>
        <sz val="9"/>
        <color rgb="FF1F2A30"/>
        <rFont val="Noto Sans CJK SC"/>
        <family val="2"/>
      </rPr>
      <t xml:space="preserve">，请选择 不适用。</t>
    </r>
  </si>
  <si>
    <t xml:space="preserve">Do you have plans to increase the proportion of renewable energy in the next 3 years? Note: If already reached 100% renewable energy, please select "N/A".</t>
  </si>
  <si>
    <r>
      <rPr>
        <sz val="9"/>
        <color rgb="FF1F2A30"/>
        <rFont val="Arial"/>
        <family val="0"/>
        <charset val="1"/>
      </rPr>
      <t xml:space="preserve">If “Yes", please provide in column L: (1) the proportion planned to increase; (2) measures planned to take.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t>
    </r>
    <r>
      <rPr>
        <sz val="9"/>
        <color rgb="FF1F2A30"/>
        <rFont val="Arial"/>
        <family val="0"/>
        <charset val="1"/>
      </rPr>
      <t xml:space="preserve">(1)</t>
    </r>
    <r>
      <rPr>
        <sz val="9"/>
        <color rgb="FF1F2A30"/>
        <rFont val="Noto Sans CJK SC"/>
        <family val="2"/>
      </rPr>
      <t xml:space="preserve">计划提升的比例；</t>
    </r>
    <r>
      <rPr>
        <sz val="9"/>
        <color rgb="FF1F2A30"/>
        <rFont val="Arial"/>
        <family val="0"/>
        <charset val="1"/>
      </rPr>
      <t xml:space="preserve">(2)</t>
    </r>
    <r>
      <rPr>
        <sz val="9"/>
        <color rgb="FF1F2A30"/>
        <rFont val="Noto Sans CJK SC"/>
        <family val="2"/>
      </rPr>
      <t xml:space="preserve">实现该计划的方法。</t>
    </r>
  </si>
  <si>
    <t xml:space="preserve">是否从发电企业或者售电企业直接购买可再生能源电力？</t>
  </si>
  <si>
    <t xml:space="preserve">Do you directly purchase electricity from renewable power generation or distribution companies?</t>
  </si>
  <si>
    <r>
      <rPr>
        <sz val="9"/>
        <color rgb="FF1F2A30"/>
        <rFont val="Arial"/>
        <family val="0"/>
        <charset val="1"/>
      </rPr>
      <t xml:space="preserve">If “Yes", please provide in column L: (1) name of both parties; (2) type of renewable power purchased.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t>
    </r>
    <r>
      <rPr>
        <sz val="9"/>
        <color rgb="FF1F2A30"/>
        <rFont val="Arial"/>
        <family val="0"/>
        <charset val="1"/>
      </rPr>
      <t xml:space="preserve">(1)</t>
    </r>
    <r>
      <rPr>
        <sz val="9"/>
        <color rgb="FF1F2A30"/>
        <rFont val="Noto Sans CJK SC"/>
        <family val="2"/>
      </rPr>
      <t xml:space="preserve">采购双方名称；</t>
    </r>
    <r>
      <rPr>
        <sz val="9"/>
        <color rgb="FF1F2A30"/>
        <rFont val="Arial"/>
        <family val="0"/>
        <charset val="1"/>
      </rPr>
      <t xml:space="preserve">(2)</t>
    </r>
    <r>
      <rPr>
        <sz val="9"/>
        <color rgb="FF1F2A30"/>
        <rFont val="Noto Sans CJK SC"/>
        <family val="2"/>
      </rPr>
      <t xml:space="preserve">购买的可再生能源电力类型。</t>
    </r>
  </si>
  <si>
    <t xml:space="preserve">是否签署过可再生能源直购电合同？</t>
  </si>
  <si>
    <t xml:space="preserve">Have your signed any renewable energy direct purchase contracts?</t>
  </si>
  <si>
    <r>
      <rPr>
        <sz val="9"/>
        <color rgb="FF1F2A30"/>
        <rFont val="Arial"/>
        <family val="0"/>
        <charset val="1"/>
      </rPr>
      <t xml:space="preserve">If “Yes", please provide in column L: (1) name of both contracted parties; (2) main content of the contract.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t>
    </r>
    <r>
      <rPr>
        <sz val="9"/>
        <color rgb="FF1F2A30"/>
        <rFont val="Arial"/>
        <family val="0"/>
        <charset val="1"/>
      </rPr>
      <t xml:space="preserve">(1)</t>
    </r>
    <r>
      <rPr>
        <sz val="9"/>
        <color rgb="FF1F2A30"/>
        <rFont val="Noto Sans CJK SC"/>
        <family val="2"/>
      </rPr>
      <t xml:space="preserve">合同双方名称；</t>
    </r>
    <r>
      <rPr>
        <sz val="9"/>
        <color rgb="FF1F2A30"/>
        <rFont val="Arial"/>
        <family val="0"/>
        <charset val="1"/>
      </rPr>
      <t xml:space="preserve">(2)</t>
    </r>
    <r>
      <rPr>
        <sz val="9"/>
        <color rgb="FF1F2A30"/>
        <rFont val="Noto Sans CJK SC"/>
        <family val="2"/>
      </rPr>
      <t xml:space="preserve">合同主要内容。</t>
    </r>
  </si>
  <si>
    <t xml:space="preserve">是否购买了国际绿证？</t>
  </si>
  <si>
    <t xml:space="preserve">Have you purchased any international Renewable Energy Certificates (iRECs)?</t>
  </si>
  <si>
    <r>
      <rPr>
        <sz val="9"/>
        <color rgb="FF1F2A30"/>
        <rFont val="Arial"/>
        <family val="0"/>
        <charset val="1"/>
      </rPr>
      <t xml:space="preserve">If “Yes", please provide in column L: (1) name of certificate; (2) amount purchased.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t>
    </r>
    <r>
      <rPr>
        <sz val="9"/>
        <color rgb="FF1F2A30"/>
        <rFont val="Arial"/>
        <family val="0"/>
        <charset val="1"/>
      </rPr>
      <t xml:space="preserve">(1)</t>
    </r>
    <r>
      <rPr>
        <sz val="9"/>
        <color rgb="FF1F2A30"/>
        <rFont val="Noto Sans CJK SC"/>
        <family val="2"/>
      </rPr>
      <t xml:space="preserve">购买的证书类型；</t>
    </r>
    <r>
      <rPr>
        <sz val="9"/>
        <color rgb="FF1F2A30"/>
        <rFont val="Arial"/>
        <family val="0"/>
        <charset val="1"/>
      </rPr>
      <t xml:space="preserve">(2)</t>
    </r>
    <r>
      <rPr>
        <sz val="9"/>
        <color rgb="FF1F2A30"/>
        <rFont val="Noto Sans CJK SC"/>
        <family val="2"/>
      </rPr>
      <t xml:space="preserve">购买的数量。</t>
    </r>
  </si>
  <si>
    <t xml:space="preserve">是否有其它碳抵消行为？例如购买过林业碳汇额度或中国绿证？</t>
  </si>
  <si>
    <t xml:space="preserve">Have you taken any other carbon offset measures? E.g. purchased forestry carbon sink quota or China green electricity certificate?</t>
  </si>
  <si>
    <r>
      <rPr>
        <sz val="9"/>
        <color rgb="FF1F2A30"/>
        <rFont val="Arial"/>
        <family val="0"/>
        <charset val="1"/>
      </rPr>
      <t xml:space="preserve">If “Yes", please specify in column L (If certificate or contract is involved, please refer to the instructions of  question 25-27)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栏描述碳抵消行为（如果涉及证书或者合同，请参考问题</t>
    </r>
    <r>
      <rPr>
        <sz val="9"/>
        <color rgb="FF1F2A30"/>
        <rFont val="Arial"/>
        <family val="0"/>
        <charset val="1"/>
      </rPr>
      <t xml:space="preserve">25-27</t>
    </r>
    <r>
      <rPr>
        <sz val="9"/>
        <color rgb="FF1F2A30"/>
        <rFont val="Noto Sans CJK SC"/>
        <family val="2"/>
      </rPr>
      <t xml:space="preserve">中的回复要求）。</t>
    </r>
  </si>
  <si>
    <r>
      <rPr>
        <sz val="9"/>
        <color rgb="FF1F2A30"/>
        <rFont val="Noto Sans CJK SC"/>
        <family val="2"/>
      </rPr>
      <t xml:space="preserve">生产</t>
    </r>
    <r>
      <rPr>
        <sz val="9"/>
        <color rgb="FF1F2A30"/>
        <rFont val="Arial"/>
        <family val="0"/>
        <charset val="1"/>
      </rPr>
      <t xml:space="preserve">-</t>
    </r>
    <r>
      <rPr>
        <sz val="9"/>
        <color rgb="FF1F2A30"/>
        <rFont val="Noto Sans CJK SC"/>
        <family val="2"/>
      </rPr>
      <t xml:space="preserve">节能措施</t>
    </r>
  </si>
  <si>
    <t xml:space="preserve">是否有经第三方认证的能源管理体系？</t>
  </si>
  <si>
    <t xml:space="preserve">Do you have energy management system certified by a third party?</t>
  </si>
  <si>
    <r>
      <rPr>
        <sz val="9"/>
        <color rgb="FF1F2A30"/>
        <rFont val="Arial"/>
        <family val="0"/>
        <charset val="1"/>
      </rPr>
      <t xml:space="preserve">If “Yes", please provide the type of energy management system in column L.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栏描述能源管理体系类型</t>
    </r>
  </si>
  <si>
    <r>
      <rPr>
        <sz val="9"/>
        <color rgb="FF1F2A30"/>
        <rFont val="Arial"/>
        <family val="0"/>
        <charset val="1"/>
      </rPr>
      <t xml:space="preserve">#8 </t>
    </r>
    <r>
      <rPr>
        <sz val="9"/>
        <color rgb="FF1F2A30"/>
        <rFont val="Noto Sans CJK SC"/>
        <family val="2"/>
      </rPr>
      <t xml:space="preserve">能源管理 </t>
    </r>
    <r>
      <rPr>
        <sz val="9"/>
        <color rgb="FF1F2A30"/>
        <rFont val="Arial"/>
        <family val="0"/>
        <charset val="1"/>
      </rPr>
      <t xml:space="preserve">/ </t>
    </r>
    <r>
      <rPr>
        <sz val="9"/>
        <color rgb="FF1F2A30"/>
        <rFont val="Noto Sans CJK SC"/>
        <family val="2"/>
      </rPr>
      <t xml:space="preserve">节能</t>
    </r>
  </si>
  <si>
    <r>
      <rPr>
        <sz val="9"/>
        <color rgb="FF1F2A30"/>
        <rFont val="Noto Sans CJK SC"/>
        <family val="2"/>
      </rPr>
      <t xml:space="preserve">近一年内是否有节能改造项目并达到预期效果</t>
    </r>
    <r>
      <rPr>
        <sz val="9"/>
        <color rgb="FF1F2A30"/>
        <rFont val="Arial"/>
        <family val="0"/>
        <charset val="1"/>
      </rPr>
      <t xml:space="preserve">?</t>
    </r>
  </si>
  <si>
    <t xml:space="preserve">Have you carried out energy efficiency retrofit projects in the past year and achieved the expected results?</t>
  </si>
  <si>
    <r>
      <rPr>
        <sz val="9"/>
        <color rgb="FF1F2A30"/>
        <rFont val="Arial"/>
        <family val="0"/>
        <charset val="1"/>
      </rPr>
      <t xml:space="preserve">If “Yes", please describe the implemented energy efficiency retrofit projects.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栏描述已实施的节能改造项目。</t>
    </r>
  </si>
  <si>
    <t xml:space="preserve">是否设置在线能源计量管理系统？</t>
  </si>
  <si>
    <t xml:space="preserve">Have you installed online energy metering management system?</t>
  </si>
  <si>
    <r>
      <rPr>
        <sz val="9"/>
        <color rgb="FF1F2A30"/>
        <rFont val="Noto Sans CJK SC"/>
        <family val="2"/>
      </rPr>
      <t xml:space="preserve">是否使用</t>
    </r>
    <r>
      <rPr>
        <sz val="9"/>
        <color rgb="FF1F2A30"/>
        <rFont val="Arial"/>
        <family val="0"/>
        <charset val="1"/>
      </rPr>
      <t xml:space="preserve">LED</t>
    </r>
    <r>
      <rPr>
        <sz val="9"/>
        <color rgb="FF1F2A30"/>
        <rFont val="Noto Sans CJK SC"/>
        <family val="2"/>
      </rPr>
      <t xml:space="preserve">等节能型照明设备，且用占比不低于</t>
    </r>
    <r>
      <rPr>
        <sz val="9"/>
        <color rgb="FF1F2A30"/>
        <rFont val="Arial"/>
        <family val="0"/>
        <charset val="1"/>
      </rPr>
      <t xml:space="preserve">50%</t>
    </r>
    <r>
      <rPr>
        <sz val="9"/>
        <color rgb="FF1F2A30"/>
        <rFont val="Noto Sans CJK SC"/>
        <family val="2"/>
      </rPr>
      <t xml:space="preserve">？</t>
    </r>
  </si>
  <si>
    <t xml:space="preserve">Do you use energy-saving lightings such as LEDs, and the proportion is not less than 50%?</t>
  </si>
  <si>
    <t xml:space="preserve">是否建有厂区清洁能源电站（生物质，太阳能，风能等）？</t>
  </si>
  <si>
    <t xml:space="preserve">Do you have any on-site renewable energy sources (biomass, solar, wind)?</t>
  </si>
  <si>
    <r>
      <rPr>
        <sz val="9"/>
        <color rgb="FF1F2A30"/>
        <rFont val="Arial"/>
        <family val="0"/>
        <charset val="1"/>
      </rPr>
      <t xml:space="preserve">Please state estimated % of on-site renewable thermal energy and/or electricity sources consumption? / </t>
    </r>
    <r>
      <rPr>
        <sz val="9"/>
        <color rgb="FF1F2A30"/>
        <rFont val="Noto Sans CJK SC"/>
        <family val="2"/>
      </rPr>
      <t xml:space="preserve">请描述厂区内清洁能源类型和占比</t>
    </r>
  </si>
  <si>
    <r>
      <rPr>
        <sz val="9"/>
        <color rgb="FF1F2A30"/>
        <rFont val="Noto Sans CJK SC"/>
        <family val="2"/>
      </rPr>
      <t xml:space="preserve">分材料减排路线图 </t>
    </r>
    <r>
      <rPr>
        <sz val="9"/>
        <color rgb="FF1F2A30"/>
        <rFont val="Arial"/>
        <family val="0"/>
        <charset val="1"/>
      </rPr>
      <t xml:space="preserve">Material Roadmaps</t>
    </r>
  </si>
  <si>
    <r>
      <rPr>
        <sz val="9"/>
        <color rgb="FF1F2A30"/>
        <rFont val="Noto Sans CJK SC"/>
        <family val="2"/>
      </rPr>
      <t xml:space="preserve">是否为供货 </t>
    </r>
    <r>
      <rPr>
        <sz val="9"/>
        <color rgb="FF1F2A30"/>
        <rFont val="Arial"/>
        <family val="0"/>
        <charset val="1"/>
      </rPr>
      <t xml:space="preserve">Autoliv </t>
    </r>
    <r>
      <rPr>
        <sz val="9"/>
        <color rgb="FF1F2A30"/>
        <rFont val="Noto Sans CJK SC"/>
        <family val="2"/>
      </rPr>
      <t xml:space="preserve">的主要金属材料制定减排</t>
    </r>
    <r>
      <rPr>
        <sz val="9"/>
        <color rgb="FF1F2A30"/>
        <rFont val="Arial"/>
        <family val="0"/>
        <charset val="1"/>
      </rPr>
      <t xml:space="preserve">/</t>
    </r>
    <r>
      <rPr>
        <sz val="9"/>
        <color rgb="FF1F2A30"/>
        <rFont val="Noto Sans CJK SC"/>
        <family val="2"/>
      </rPr>
      <t xml:space="preserve">再生路线图——钢材 </t>
    </r>
    <r>
      <rPr>
        <sz val="9"/>
        <color rgb="FF1F2A30"/>
        <rFont val="Arial"/>
        <family val="0"/>
        <charset val="1"/>
      </rPr>
      <t xml:space="preserve">GHG </t>
    </r>
    <r>
      <rPr>
        <sz val="9"/>
        <color rgb="FF1F2A30"/>
        <rFont val="Noto Sans CJK SC"/>
        <family val="2"/>
      </rPr>
      <t xml:space="preserve">较 </t>
    </r>
    <r>
      <rPr>
        <sz val="9"/>
        <color rgb="FF1F2A30"/>
        <rFont val="Arial"/>
        <family val="0"/>
        <charset val="1"/>
      </rPr>
      <t xml:space="preserve">2018 </t>
    </r>
    <r>
      <rPr>
        <sz val="9"/>
        <color rgb="FF1F2A30"/>
        <rFont val="Noto Sans CJK SC"/>
        <family val="2"/>
      </rPr>
      <t xml:space="preserve">降 ≥</t>
    </r>
    <r>
      <rPr>
        <sz val="9"/>
        <color rgb="FF1F2A30"/>
        <rFont val="Arial"/>
        <family val="0"/>
        <charset val="1"/>
      </rPr>
      <t xml:space="preserve">35%</t>
    </r>
    <r>
      <rPr>
        <sz val="9"/>
        <color rgb="FF1F2A30"/>
        <rFont val="Noto Sans CJK SC"/>
        <family val="2"/>
      </rPr>
      <t xml:space="preserve">（</t>
    </r>
    <r>
      <rPr>
        <sz val="9"/>
        <color rgb="FF1F2A30"/>
        <rFont val="Arial"/>
        <family val="0"/>
        <charset val="1"/>
      </rPr>
      <t xml:space="preserve">2030</t>
    </r>
    <r>
      <rPr>
        <sz val="9"/>
        <color rgb="FF1F2A30"/>
        <rFont val="Noto Sans CJK SC"/>
        <family val="2"/>
      </rPr>
      <t xml:space="preserve">）、再生铝 ≥</t>
    </r>
    <r>
      <rPr>
        <sz val="9"/>
        <color rgb="FF1F2A30"/>
        <rFont val="Arial"/>
        <family val="0"/>
        <charset val="1"/>
      </rPr>
      <t xml:space="preserve">75%</t>
    </r>
    <r>
      <rPr>
        <sz val="9"/>
        <color rgb="FF1F2A30"/>
        <rFont val="Noto Sans CJK SC"/>
        <family val="2"/>
      </rPr>
      <t xml:space="preserve">（或 </t>
    </r>
    <r>
      <rPr>
        <sz val="9"/>
        <color rgb="FF1F2A30"/>
        <rFont val="Arial"/>
        <family val="0"/>
        <charset val="1"/>
      </rPr>
      <t xml:space="preserve">&lt;4kg CO2e/kg</t>
    </r>
    <r>
      <rPr>
        <sz val="9"/>
        <color rgb="FF1F2A30"/>
        <rFont val="Noto Sans CJK SC"/>
        <family val="2"/>
      </rPr>
      <t xml:space="preserve">）、再生镁 ≥</t>
    </r>
    <r>
      <rPr>
        <sz val="9"/>
        <color rgb="FF1F2A30"/>
        <rFont val="Arial"/>
        <family val="0"/>
        <charset val="1"/>
      </rPr>
      <t xml:space="preserve">40%</t>
    </r>
    <r>
      <rPr>
        <sz val="9"/>
        <color rgb="FF1F2A30"/>
        <rFont val="Noto Sans CJK SC"/>
        <family val="2"/>
      </rPr>
      <t xml:space="preserve">（或 </t>
    </r>
    <r>
      <rPr>
        <sz val="9"/>
        <color rgb="FF1F2A30"/>
        <rFont val="Arial"/>
        <family val="0"/>
        <charset val="1"/>
      </rPr>
      <t xml:space="preserve">&lt;10kg CO2e/kg</t>
    </r>
    <r>
      <rPr>
        <sz val="9"/>
        <color rgb="FF1F2A30"/>
        <rFont val="Noto Sans CJK SC"/>
        <family val="2"/>
      </rPr>
      <t xml:space="preserve">），并在 </t>
    </r>
    <r>
      <rPr>
        <sz val="9"/>
        <color rgb="FF1F2A30"/>
        <rFont val="Arial"/>
        <family val="0"/>
        <charset val="1"/>
      </rPr>
      <t xml:space="preserve">IMDS </t>
    </r>
    <r>
      <rPr>
        <sz val="9"/>
        <color rgb="FF1F2A30"/>
        <rFont val="Noto Sans CJK SC"/>
        <family val="2"/>
      </rPr>
      <t xml:space="preserve">记录再生比例？</t>
    </r>
  </si>
  <si>
    <t xml:space="preserve">Have you set decarbonization/recycled-content roadmaps for the main metals supplied to Autoliv — steel GHG −35% vs 2018 by 2030, recycled aluminium ≥75% (or &lt;4kg CO2e/kg), recycled magnesium ≥40% (or &lt;10kg CO2e/kg) — recording recycled share in IMDS?</t>
  </si>
  <si>
    <r>
      <rPr>
        <sz val="9"/>
        <color rgb="FF1F2A30"/>
        <rFont val="Arial"/>
        <family val="0"/>
        <charset val="1"/>
      </rPr>
      <t xml:space="preserve">Expectation</t>
    </r>
    <r>
      <rPr>
        <sz val="9"/>
        <color rgb="FF1F2A30"/>
        <rFont val="Noto Sans CJK SC"/>
        <family val="2"/>
      </rPr>
      <t xml:space="preserve">（</t>
    </r>
    <r>
      <rPr>
        <sz val="9"/>
        <color rgb="FF1F2A30"/>
        <rFont val="Arial"/>
        <family val="0"/>
        <charset val="1"/>
      </rPr>
      <t xml:space="preserve">#9-11</t>
    </r>
    <r>
      <rPr>
        <sz val="9"/>
        <color rgb="FF1F2A30"/>
        <rFont val="Noto Sans CJK SC"/>
        <family val="2"/>
      </rPr>
      <t xml:space="preserve">）。含气体发生器金属壳体。 </t>
    </r>
    <r>
      <rPr>
        <sz val="9"/>
        <color rgb="FF1F2A30"/>
        <rFont val="Arial"/>
        <family val="0"/>
        <charset val="1"/>
      </rPr>
      <t xml:space="preserve">/ Expectation (#9-11). Incl. inflator metal housings.</t>
    </r>
  </si>
  <si>
    <r>
      <rPr>
        <sz val="9"/>
        <color rgb="FF1F2A30"/>
        <rFont val="Arial"/>
        <family val="0"/>
        <charset val="1"/>
      </rPr>
      <t xml:space="preserve">#9 </t>
    </r>
    <r>
      <rPr>
        <sz val="9"/>
        <color rgb="FF1F2A30"/>
        <rFont val="Noto Sans CJK SC"/>
        <family val="2"/>
      </rPr>
      <t xml:space="preserve">钢 </t>
    </r>
    <r>
      <rPr>
        <sz val="9"/>
        <color rgb="FF1F2A30"/>
        <rFont val="Arial"/>
        <family val="0"/>
        <charset val="1"/>
      </rPr>
      <t xml:space="preserve">/ #10 </t>
    </r>
    <r>
      <rPr>
        <sz val="9"/>
        <color rgb="FF1F2A30"/>
        <rFont val="Noto Sans CJK SC"/>
        <family val="2"/>
      </rPr>
      <t xml:space="preserve">铝 </t>
    </r>
    <r>
      <rPr>
        <sz val="9"/>
        <color rgb="FF1F2A30"/>
        <rFont val="Arial"/>
        <family val="0"/>
        <charset val="1"/>
      </rPr>
      <t xml:space="preserve">/ #11 </t>
    </r>
    <r>
      <rPr>
        <sz val="9"/>
        <color rgb="FF1F2A30"/>
        <rFont val="Noto Sans CJK SC"/>
        <family val="2"/>
      </rPr>
      <t xml:space="preserve">镁 减排路线图</t>
    </r>
  </si>
  <si>
    <r>
      <rPr>
        <sz val="9"/>
        <color rgb="FF1F2A30"/>
        <rFont val="Arial"/>
        <family val="0"/>
        <charset val="1"/>
      </rPr>
      <t xml:space="preserve">Autoliv </t>
    </r>
    <r>
      <rPr>
        <sz val="9"/>
        <color rgb="FF1F2A30"/>
        <rFont val="Noto Sans CJK SC"/>
        <family val="2"/>
      </rPr>
      <t xml:space="preserve">采购要求 </t>
    </r>
    <r>
      <rPr>
        <sz val="9"/>
        <color rgb="FF1F2A30"/>
        <rFont val="Arial"/>
        <family val="0"/>
        <charset val="1"/>
      </rPr>
      <t xml:space="preserve">#9-11 · </t>
    </r>
    <r>
      <rPr>
        <sz val="9"/>
        <color rgb="FF1F2A30"/>
        <rFont val="Noto Sans CJK SC"/>
        <family val="2"/>
      </rPr>
      <t xml:space="preserve">吉利</t>
    </r>
    <r>
      <rPr>
        <sz val="9"/>
        <color rgb="FF1F2A30"/>
        <rFont val="Arial"/>
        <family val="0"/>
        <charset val="1"/>
      </rPr>
      <t xml:space="preserve">(</t>
    </r>
    <r>
      <rPr>
        <sz val="9"/>
        <color rgb="FF1F2A30"/>
        <rFont val="Noto Sans CJK SC"/>
        <family val="2"/>
      </rPr>
      <t xml:space="preserve">再生钢</t>
    </r>
    <r>
      <rPr>
        <sz val="9"/>
        <color rgb="FF1F2A30"/>
        <rFont val="Arial"/>
        <family val="0"/>
        <charset val="1"/>
      </rPr>
      <t xml:space="preserve">20%/</t>
    </r>
    <r>
      <rPr>
        <sz val="9"/>
        <color rgb="FF1F2A30"/>
        <rFont val="Noto Sans CJK SC"/>
        <family val="2"/>
      </rPr>
      <t xml:space="preserve">铝</t>
    </r>
    <r>
      <rPr>
        <sz val="9"/>
        <color rgb="FF1F2A30"/>
        <rFont val="Arial"/>
        <family val="0"/>
        <charset val="1"/>
      </rPr>
      <t xml:space="preserve">30%)· </t>
    </r>
    <r>
      <rPr>
        <sz val="9"/>
        <color rgb="FF1F2A30"/>
        <rFont val="Noto Sans CJK SC"/>
        <family val="2"/>
      </rPr>
      <t xml:space="preserve">奇瑞</t>
    </r>
    <r>
      <rPr>
        <sz val="9"/>
        <color rgb="FF1F2A30"/>
        <rFont val="Arial"/>
        <family val="0"/>
        <charset val="1"/>
      </rPr>
      <t xml:space="preserve">(100%</t>
    </r>
    <r>
      <rPr>
        <sz val="9"/>
        <color rgb="FF1F2A30"/>
        <rFont val="Noto Sans CJK SC"/>
        <family val="2"/>
      </rPr>
      <t xml:space="preserve">再生铝一体压铸</t>
    </r>
    <r>
      <rPr>
        <sz val="9"/>
        <color rgb="FF1F2A30"/>
        <rFont val="Arial"/>
        <family val="0"/>
        <charset val="1"/>
      </rPr>
      <t xml:space="preserve">)</t>
    </r>
  </si>
  <si>
    <r>
      <rPr>
        <sz val="9"/>
        <color rgb="FF1F2A30"/>
        <rFont val="Noto Sans CJK SC"/>
        <family val="2"/>
      </rPr>
      <t xml:space="preserve">是否为树脂与织物类材料制定减排路线图（</t>
    </r>
    <r>
      <rPr>
        <sz val="9"/>
        <color rgb="FF1F2A30"/>
        <rFont val="Arial"/>
        <family val="0"/>
        <charset val="1"/>
      </rPr>
      <t xml:space="preserve">GHG </t>
    </r>
    <r>
      <rPr>
        <sz val="9"/>
        <color rgb="FF1F2A30"/>
        <rFont val="Noto Sans CJK SC"/>
        <family val="2"/>
      </rPr>
      <t xml:space="preserve">较 </t>
    </r>
    <r>
      <rPr>
        <sz val="9"/>
        <color rgb="FF1F2A30"/>
        <rFont val="Arial"/>
        <family val="0"/>
        <charset val="1"/>
      </rPr>
      <t xml:space="preserve">2018 </t>
    </r>
    <r>
      <rPr>
        <sz val="9"/>
        <color rgb="FF1F2A30"/>
        <rFont val="Noto Sans CJK SC"/>
        <family val="2"/>
      </rPr>
      <t xml:space="preserve">降 ≥</t>
    </r>
    <r>
      <rPr>
        <sz val="9"/>
        <color rgb="FF1F2A30"/>
        <rFont val="Arial"/>
        <family val="0"/>
        <charset val="1"/>
      </rPr>
      <t xml:space="preserve">35%</t>
    </r>
    <r>
      <rPr>
        <sz val="9"/>
        <color rgb="FF1F2A30"/>
        <rFont val="Noto Sans CJK SC"/>
        <family val="2"/>
      </rPr>
      <t xml:space="preserve">，</t>
    </r>
    <r>
      <rPr>
        <sz val="9"/>
        <color rgb="FF1F2A30"/>
        <rFont val="Arial"/>
        <family val="0"/>
        <charset val="1"/>
      </rPr>
      <t xml:space="preserve">2030</t>
    </r>
    <r>
      <rPr>
        <sz val="9"/>
        <color rgb="FF1F2A30"/>
        <rFont val="Noto Sans CJK SC"/>
        <family val="2"/>
      </rPr>
      <t xml:space="preserve">），并在 </t>
    </r>
    <r>
      <rPr>
        <sz val="9"/>
        <color rgb="FF1F2A30"/>
        <rFont val="Arial"/>
        <family val="0"/>
        <charset val="1"/>
      </rPr>
      <t xml:space="preserve">IMDS </t>
    </r>
    <r>
      <rPr>
        <sz val="9"/>
        <color rgb="FF1F2A30"/>
        <rFont val="Noto Sans CJK SC"/>
        <family val="2"/>
      </rPr>
      <t xml:space="preserve">记录再生比例？</t>
    </r>
  </si>
  <si>
    <t xml:space="preserve">Have you set decarbonization roadmaps for resins and fabrics (GHG −35% vs 2018 by 2030) and recorded recycled share in IMDS?</t>
  </si>
  <si>
    <r>
      <rPr>
        <sz val="9"/>
        <color rgb="FF1F2A30"/>
        <rFont val="Arial"/>
        <family val="0"/>
        <charset val="1"/>
      </rPr>
      <t xml:space="preserve">Expectation</t>
    </r>
    <r>
      <rPr>
        <sz val="9"/>
        <color rgb="FF1F2A30"/>
        <rFont val="Noto Sans CJK SC"/>
        <family val="2"/>
      </rPr>
      <t xml:space="preserve">（</t>
    </r>
    <r>
      <rPr>
        <sz val="9"/>
        <color rgb="FF1F2A30"/>
        <rFont val="Arial"/>
        <family val="0"/>
        <charset val="1"/>
      </rPr>
      <t xml:space="preserve">#12-13</t>
    </r>
    <r>
      <rPr>
        <sz val="9"/>
        <color rgb="FF1F2A30"/>
        <rFont val="Noto Sans CJK SC"/>
        <family val="2"/>
      </rPr>
      <t xml:space="preserve">）。 </t>
    </r>
    <r>
      <rPr>
        <sz val="9"/>
        <color rgb="FF1F2A30"/>
        <rFont val="Arial"/>
        <family val="0"/>
        <charset val="1"/>
      </rPr>
      <t xml:space="preserve">/ Expectation (#12-13).</t>
    </r>
  </si>
  <si>
    <r>
      <rPr>
        <sz val="9"/>
        <color rgb="FF1F2A30"/>
        <rFont val="Arial"/>
        <family val="0"/>
        <charset val="1"/>
      </rPr>
      <t xml:space="preserve">#12 </t>
    </r>
    <r>
      <rPr>
        <sz val="9"/>
        <color rgb="FF1F2A30"/>
        <rFont val="Noto Sans CJK SC"/>
        <family val="2"/>
      </rPr>
      <t xml:space="preserve">树脂 </t>
    </r>
    <r>
      <rPr>
        <sz val="9"/>
        <color rgb="FF1F2A30"/>
        <rFont val="Arial"/>
        <family val="0"/>
        <charset val="1"/>
      </rPr>
      <t xml:space="preserve">/ #13 </t>
    </r>
    <r>
      <rPr>
        <sz val="9"/>
        <color rgb="FF1F2A30"/>
        <rFont val="Noto Sans CJK SC"/>
        <family val="2"/>
      </rPr>
      <t xml:space="preserve">织物 减排路线图</t>
    </r>
  </si>
  <si>
    <r>
      <rPr>
        <sz val="9"/>
        <color rgb="FF1F2A30"/>
        <rFont val="Arial"/>
        <family val="0"/>
        <charset val="1"/>
      </rPr>
      <t xml:space="preserve">Autoliv </t>
    </r>
    <r>
      <rPr>
        <sz val="9"/>
        <color rgb="FF1F2A30"/>
        <rFont val="Noto Sans CJK SC"/>
        <family val="2"/>
      </rPr>
      <t xml:space="preserve">采购要求 </t>
    </r>
    <r>
      <rPr>
        <sz val="9"/>
        <color rgb="FF1F2A30"/>
        <rFont val="Arial"/>
        <family val="0"/>
        <charset val="1"/>
      </rPr>
      <t xml:space="preserve">#12-13 · </t>
    </r>
    <r>
      <rPr>
        <sz val="9"/>
        <color rgb="FF1F2A30"/>
        <rFont val="Noto Sans CJK SC"/>
        <family val="2"/>
      </rPr>
      <t xml:space="preserve">吉利</t>
    </r>
    <r>
      <rPr>
        <sz val="9"/>
        <color rgb="FF1F2A30"/>
        <rFont val="Arial"/>
        <family val="0"/>
        <charset val="1"/>
      </rPr>
      <t xml:space="preserve">(</t>
    </r>
    <r>
      <rPr>
        <sz val="9"/>
        <color rgb="FF1F2A30"/>
        <rFont val="Noto Sans CJK SC"/>
        <family val="2"/>
      </rPr>
      <t xml:space="preserve">再生塑料</t>
    </r>
    <r>
      <rPr>
        <sz val="9"/>
        <color rgb="FF1F2A30"/>
        <rFont val="Arial"/>
        <family val="0"/>
        <charset val="1"/>
      </rPr>
      <t xml:space="preserve">25%)</t>
    </r>
  </si>
  <si>
    <t xml:space="preserve">物流</t>
  </si>
  <si>
    <t xml:space="preserve">是否开展绿色物流研究，制定原材料、零部件、场内物料、汽车产品等高效运输方案，提升能源效率、降低污染物排放？</t>
  </si>
  <si>
    <t xml:space="preserve">Have you carried out research on green logistics and formulate efficient transportation plans for raw materials, parts, on-site materials, and automotive products to improve energy efficiency and reduce pollutant emissions?</t>
  </si>
  <si>
    <r>
      <rPr>
        <sz val="9"/>
        <color rgb="FF1F2A30"/>
        <rFont val="Arial"/>
        <family val="0"/>
        <charset val="1"/>
      </rPr>
      <t xml:space="preserve">#14 </t>
    </r>
    <r>
      <rPr>
        <sz val="9"/>
        <color rgb="FF1F2A30"/>
        <rFont val="Noto Sans CJK SC"/>
        <family val="2"/>
      </rPr>
      <t xml:space="preserve">运输减排路线图</t>
    </r>
  </si>
  <si>
    <r>
      <rPr>
        <sz val="9"/>
        <color rgb="FF1F2A30"/>
        <rFont val="Noto Sans CJK SC"/>
        <family val="2"/>
      </rPr>
      <t xml:space="preserve">是否使用以生物质燃料、天然气、电力为动力的运输工具进行物料运输或者作为员工班车</t>
    </r>
    <r>
      <rPr>
        <sz val="9"/>
        <color rgb="FF1F2A30"/>
        <rFont val="Arial"/>
        <family val="0"/>
        <charset val="1"/>
      </rPr>
      <t xml:space="preserve">?</t>
    </r>
  </si>
  <si>
    <t xml:space="preserve">Do you use transportation vehicles powered by biomass fuels, natural gas or electricity for material transportation or as shuttle buses?</t>
  </si>
  <si>
    <r>
      <rPr>
        <sz val="9"/>
        <color rgb="FF1F2A30"/>
        <rFont val="Arial"/>
        <family val="0"/>
        <charset val="1"/>
      </rPr>
      <t xml:space="preserve">P3 </t>
    </r>
    <r>
      <rPr>
        <sz val="9"/>
        <color rgb="FF1F2A30"/>
        <rFont val="Noto Sans CJK SC"/>
        <family val="2"/>
      </rPr>
      <t xml:space="preserve">循环性</t>
    </r>
  </si>
  <si>
    <t xml:space="preserve">是否正在积极努力增加可回收和再利用部分？例如评估哪些材料可以用回收或再利用材料替代；开发新技术以增加回收或再利用材料。</t>
  </si>
  <si>
    <t xml:space="preserve">Are you proactively working on increasing recyclable or reusable materials? Such as assessing which materials could be substituted with recyclable or reusable ones or developing new technology to increase recyclable or reusable materials.</t>
  </si>
  <si>
    <t xml:space="preserve">#2 LCA / #4 IMDS</t>
  </si>
  <si>
    <r>
      <rPr>
        <sz val="9"/>
        <color rgb="FF1F2A30"/>
        <rFont val="Noto Sans CJK SC"/>
        <family val="2"/>
      </rPr>
      <t xml:space="preserve">生产</t>
    </r>
    <r>
      <rPr>
        <sz val="9"/>
        <color rgb="FF1F2A30"/>
        <rFont val="Arial"/>
        <family val="0"/>
        <charset val="1"/>
      </rPr>
      <t xml:space="preserve">-</t>
    </r>
    <r>
      <rPr>
        <sz val="9"/>
        <color rgb="FF1F2A30"/>
        <rFont val="Noto Sans CJK SC"/>
        <family val="2"/>
      </rPr>
      <t xml:space="preserve">原料减量</t>
    </r>
  </si>
  <si>
    <t xml:space="preserve">是否进行过原料减量化（原料减量化指的是减少生产单位产品所需要的原料质量）？</t>
  </si>
  <si>
    <t xml:space="preserve">Has raw material reduction been carried out (raw material reduction refers to reducing the mass of raw materials required to produce a unit of product)?</t>
  </si>
  <si>
    <r>
      <rPr>
        <sz val="9"/>
        <color rgb="FF1F2A30"/>
        <rFont val="Noto Sans CJK SC"/>
        <family val="2"/>
      </rPr>
      <t xml:space="preserve">生产</t>
    </r>
    <r>
      <rPr>
        <sz val="9"/>
        <color rgb="FF1F2A30"/>
        <rFont val="Arial"/>
        <family val="0"/>
        <charset val="1"/>
      </rPr>
      <t xml:space="preserve">-</t>
    </r>
    <r>
      <rPr>
        <sz val="9"/>
        <color rgb="FF1F2A30"/>
        <rFont val="Noto Sans CJK SC"/>
        <family val="2"/>
      </rPr>
      <t xml:space="preserve">水资源回用</t>
    </r>
  </si>
  <si>
    <t xml:space="preserve">工厂生产过程中是否避免产生工业废水？</t>
  </si>
  <si>
    <t xml:space="preserve">Does the factory avoid industrial waste water during Manufacturing?</t>
  </si>
  <si>
    <r>
      <rPr>
        <sz val="9"/>
        <color rgb="FF1F2A30"/>
        <rFont val="Arial"/>
        <family val="0"/>
        <charset val="1"/>
      </rPr>
      <t xml:space="preserve">If “Yes", please provide the reason why no wastewater is generated in column L.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栏描述不产生工业废水的原因。</t>
    </r>
  </si>
  <si>
    <r>
      <rPr>
        <sz val="9"/>
        <color rgb="FF1F2A30"/>
        <rFont val="Noto Sans CJK SC"/>
        <family val="2"/>
      </rPr>
      <t xml:space="preserve">材料数据 </t>
    </r>
    <r>
      <rPr>
        <sz val="9"/>
        <color rgb="FF1F2A30"/>
        <rFont val="Arial"/>
        <family val="0"/>
        <charset val="1"/>
      </rPr>
      <t xml:space="preserve">IMDS</t>
    </r>
  </si>
  <si>
    <r>
      <rPr>
        <sz val="9"/>
        <color rgb="FF1F2A30"/>
        <rFont val="Noto Sans CJK SC"/>
        <family val="2"/>
      </rPr>
      <t xml:space="preserve">是否在 </t>
    </r>
    <r>
      <rPr>
        <sz val="9"/>
        <color rgb="FF1F2A30"/>
        <rFont val="Arial"/>
        <family val="0"/>
        <charset val="1"/>
      </rPr>
      <t xml:space="preserve">IMDS </t>
    </r>
    <r>
      <rPr>
        <sz val="9"/>
        <color rgb="FF1F2A30"/>
        <rFont val="Noto Sans CJK SC"/>
        <family val="2"/>
      </rPr>
      <t xml:space="preserve">中完整、准确填报全部材料的</t>
    </r>
    <r>
      <rPr>
        <sz val="9"/>
        <color rgb="FF1F2A30"/>
        <rFont val="Arial"/>
        <family val="0"/>
        <charset val="1"/>
      </rPr>
      <t xml:space="preserve">"</t>
    </r>
    <r>
      <rPr>
        <sz val="9"/>
        <color rgb="FF1F2A30"/>
        <rFont val="Noto Sans CJK SC"/>
        <family val="2"/>
      </rPr>
      <t xml:space="preserve">材料来源（含循环材料）</t>
    </r>
    <r>
      <rPr>
        <sz val="9"/>
        <color rgb="FF1F2A30"/>
        <rFont val="Arial"/>
        <family val="0"/>
        <charset val="1"/>
      </rPr>
      <t xml:space="preserve">"</t>
    </r>
    <r>
      <rPr>
        <sz val="9"/>
        <color rgb="FF1F2A30"/>
        <rFont val="Noto Sans CJK SC"/>
        <family val="2"/>
      </rPr>
      <t xml:space="preserve">字段？</t>
    </r>
  </si>
  <si>
    <t xml:space="preserve">Do you completely and accurately report the "material origin (incl. recycled content)" field for all materials in IMDS?</t>
  </si>
  <si>
    <r>
      <rPr>
        <sz val="9"/>
        <color rgb="FF1F2A30"/>
        <rFont val="Arial"/>
        <family val="0"/>
        <charset val="1"/>
      </rPr>
      <t xml:space="preserve">Requirement</t>
    </r>
    <r>
      <rPr>
        <sz val="9"/>
        <color rgb="FF1F2A30"/>
        <rFont val="Noto Sans CJK SC"/>
        <family val="2"/>
      </rPr>
      <t xml:space="preserve">（</t>
    </r>
    <r>
      <rPr>
        <sz val="9"/>
        <color rgb="FF1F2A30"/>
        <rFont val="Arial"/>
        <family val="0"/>
        <charset val="1"/>
      </rPr>
      <t xml:space="preserve">2023</t>
    </r>
    <r>
      <rPr>
        <sz val="9"/>
        <color rgb="FF1F2A30"/>
        <rFont val="Noto Sans CJK SC"/>
        <family val="2"/>
      </rPr>
      <t xml:space="preserve">）。平台提供 </t>
    </r>
    <r>
      <rPr>
        <sz val="9"/>
        <color rgb="FF1F2A30"/>
        <rFont val="Arial"/>
        <family val="0"/>
        <charset val="1"/>
      </rPr>
      <t xml:space="preserve">IMDS </t>
    </r>
    <r>
      <rPr>
        <sz val="9"/>
        <color rgb="FF1F2A30"/>
        <rFont val="Noto Sans CJK SC"/>
        <family val="2"/>
      </rPr>
      <t xml:space="preserve">填报辅导。 </t>
    </r>
    <r>
      <rPr>
        <sz val="9"/>
        <color rgb="FF1F2A30"/>
        <rFont val="Arial"/>
        <family val="0"/>
        <charset val="1"/>
      </rPr>
      <t xml:space="preserve">/ Requirement (2023). Platform offers IMDS reporting guidance.</t>
    </r>
  </si>
  <si>
    <r>
      <rPr>
        <sz val="9"/>
        <color rgb="FF1F2A30"/>
        <rFont val="Arial"/>
        <family val="0"/>
        <charset val="1"/>
      </rPr>
      <t xml:space="preserve">#4 IMDS </t>
    </r>
    <r>
      <rPr>
        <sz val="9"/>
        <color rgb="FF1F2A30"/>
        <rFont val="Noto Sans CJK SC"/>
        <family val="2"/>
      </rPr>
      <t xml:space="preserve">循环材料数据</t>
    </r>
  </si>
  <si>
    <r>
      <rPr>
        <sz val="9"/>
        <color rgb="FF1F2A30"/>
        <rFont val="Arial"/>
        <family val="0"/>
        <charset val="1"/>
      </rPr>
      <t xml:space="preserve">Autoliv </t>
    </r>
    <r>
      <rPr>
        <sz val="9"/>
        <color rgb="FF1F2A30"/>
        <rFont val="Noto Sans CJK SC"/>
        <family val="2"/>
      </rPr>
      <t xml:space="preserve">采购要求 </t>
    </r>
    <r>
      <rPr>
        <sz val="9"/>
        <color rgb="FF1F2A30"/>
        <rFont val="Arial"/>
        <family val="0"/>
        <charset val="1"/>
      </rPr>
      <t xml:space="preserve">#4</t>
    </r>
  </si>
  <si>
    <t xml:space="preserve">工厂是否有雨水收集和利用系统？</t>
  </si>
  <si>
    <t xml:space="preserve">Has any rainwater been captured and used?</t>
  </si>
  <si>
    <r>
      <rPr>
        <sz val="9"/>
        <color rgb="FF1F2A30"/>
        <rFont val="Arial"/>
        <family val="0"/>
        <charset val="1"/>
      </rPr>
      <t xml:space="preserve">#2 LCA</t>
    </r>
    <r>
      <rPr>
        <sz val="9"/>
        <color rgb="FF1F2A30"/>
        <rFont val="Noto Sans CJK SC"/>
        <family val="2"/>
      </rPr>
      <t xml:space="preserve">（水</t>
    </r>
    <r>
      <rPr>
        <sz val="9"/>
        <color rgb="FF1F2A30"/>
        <rFont val="Arial"/>
        <family val="0"/>
        <charset val="1"/>
      </rPr>
      <t xml:space="preserve">/</t>
    </r>
    <r>
      <rPr>
        <sz val="9"/>
        <color rgb="FF1F2A30"/>
        <rFont val="Noto Sans CJK SC"/>
        <family val="2"/>
      </rPr>
      <t xml:space="preserve">废物）</t>
    </r>
  </si>
  <si>
    <r>
      <rPr>
        <sz val="9"/>
        <color rgb="FF1F2A30"/>
        <rFont val="Noto Sans CJK SC"/>
        <family val="2"/>
      </rPr>
      <t xml:space="preserve">工厂的废水回用率是否大于</t>
    </r>
    <r>
      <rPr>
        <sz val="9"/>
        <color rgb="FF1F2A30"/>
        <rFont val="Arial"/>
        <family val="0"/>
        <charset val="1"/>
      </rPr>
      <t xml:space="preserve">30%</t>
    </r>
    <r>
      <rPr>
        <sz val="9"/>
        <color rgb="FF1F2A30"/>
        <rFont val="Noto Sans CJK SC"/>
        <family val="2"/>
      </rPr>
      <t xml:space="preserve">？</t>
    </r>
  </si>
  <si>
    <t xml:space="preserve">Is the factory's wastewater reuse rate greater than 30%?</t>
  </si>
  <si>
    <t xml:space="preserve">If “Yes", please describe in column L: the value of parameters in the formula of wastewater reuse rate. Please reply as "In 2021, Vw is xx cubic meters, Vd is xx cubic meters, and Lw is xx%" / The wastewater reuse rate is calculated as: Lw=Vw/(Vd+Vw )×100%, where: / Lw——Waste water reuse rate; / Vw——The amount of wastewater that is reused after treatment during the statistical period, in cubic meters; / V</t>
  </si>
  <si>
    <r>
      <rPr>
        <sz val="9"/>
        <color rgb="FF1F2A30"/>
        <rFont val="Noto Sans CJK SC"/>
        <family val="2"/>
      </rPr>
      <t xml:space="preserve">工厂的废水回用率是否大于</t>
    </r>
    <r>
      <rPr>
        <sz val="9"/>
        <color rgb="FF1F2A30"/>
        <rFont val="Arial"/>
        <family val="0"/>
        <charset val="1"/>
      </rPr>
      <t xml:space="preserve">60%</t>
    </r>
    <r>
      <rPr>
        <sz val="9"/>
        <color rgb="FF1F2A30"/>
        <rFont val="Noto Sans CJK SC"/>
        <family val="2"/>
      </rPr>
      <t xml:space="preserve">？</t>
    </r>
  </si>
  <si>
    <t xml:space="preserve">Is the factory's wastewater reuse rate greater than 60%?</t>
  </si>
  <si>
    <r>
      <rPr>
        <sz val="9"/>
        <color rgb="FF1F2A30"/>
        <rFont val="Arial"/>
        <family val="0"/>
        <charset val="1"/>
      </rPr>
      <t xml:space="preserve">Calculation methoud is same as above</t>
    </r>
    <r>
      <rPr>
        <sz val="9"/>
        <color rgb="FF1F2A30"/>
        <rFont val="Noto Sans CJK SC"/>
        <family val="2"/>
      </rPr>
      <t xml:space="preserve">； </t>
    </r>
    <r>
      <rPr>
        <sz val="9"/>
        <color rgb="FF1F2A30"/>
        <rFont val="Arial"/>
        <family val="0"/>
        <charset val="1"/>
      </rPr>
      <t xml:space="preserve">/ If "Yes" for this question, please make sure you also choose "Yes" for Question 38. / </t>
    </r>
    <r>
      <rPr>
        <sz val="9"/>
        <color rgb="FF1F2A30"/>
        <rFont val="Noto Sans CJK SC"/>
        <family val="2"/>
      </rPr>
      <t xml:space="preserve">计算方法同上； </t>
    </r>
    <r>
      <rPr>
        <sz val="9"/>
        <color rgb="FF1F2A30"/>
        <rFont val="Arial"/>
        <family val="0"/>
        <charset val="1"/>
      </rPr>
      <t xml:space="preserve">/ </t>
    </r>
    <r>
      <rPr>
        <sz val="9"/>
        <color rgb="FF1F2A30"/>
        <rFont val="Noto Sans CJK SC"/>
        <family val="2"/>
      </rPr>
      <t xml:space="preserve">如果回答为“是“</t>
    </r>
    <r>
      <rPr>
        <sz val="9"/>
        <color rgb="FF1F2A30"/>
        <rFont val="Arial"/>
        <family val="0"/>
        <charset val="1"/>
      </rPr>
      <t xml:space="preserve">, </t>
    </r>
    <r>
      <rPr>
        <sz val="9"/>
        <color rgb="FF1F2A30"/>
        <rFont val="Noto Sans CJK SC"/>
        <family val="2"/>
      </rPr>
      <t xml:space="preserve">请确保在问题</t>
    </r>
    <r>
      <rPr>
        <sz val="9"/>
        <color rgb="FF1F2A30"/>
        <rFont val="Arial"/>
        <family val="0"/>
        <charset val="1"/>
      </rPr>
      <t xml:space="preserve">38</t>
    </r>
    <r>
      <rPr>
        <sz val="9"/>
        <color rgb="FF1F2A30"/>
        <rFont val="Noto Sans CJK SC"/>
        <family val="2"/>
      </rPr>
      <t xml:space="preserve">的回答为</t>
    </r>
    <r>
      <rPr>
        <sz val="9"/>
        <color rgb="FF1F2A30"/>
        <rFont val="Arial"/>
        <family val="0"/>
        <charset val="1"/>
      </rPr>
      <t xml:space="preserve">"</t>
    </r>
    <r>
      <rPr>
        <sz val="9"/>
        <color rgb="FF1F2A30"/>
        <rFont val="Noto Sans CJK SC"/>
        <family val="2"/>
      </rPr>
      <t xml:space="preserve">是</t>
    </r>
    <r>
      <rPr>
        <sz val="9"/>
        <color rgb="FF1F2A30"/>
        <rFont val="Arial"/>
        <family val="0"/>
        <charset val="1"/>
      </rPr>
      <t xml:space="preserve">"</t>
    </r>
    <r>
      <rPr>
        <sz val="9"/>
        <color rgb="FF1F2A30"/>
        <rFont val="Noto Sans CJK SC"/>
        <family val="2"/>
      </rPr>
      <t xml:space="preserve">。</t>
    </r>
  </si>
  <si>
    <t xml:space="preserve">工厂的废水回用率是否为</t>
  </si>
  <si>
    <r>
      <rPr>
        <sz val="9"/>
        <color rgb="FF1F2A30"/>
        <rFont val="Arial"/>
        <family val="0"/>
        <charset val="1"/>
      </rPr>
      <t xml:space="preserve">Is the factory's wastewater reuse rate greater than 100%? 100%</t>
    </r>
    <r>
      <rPr>
        <sz val="9"/>
        <color rgb="FF1F2A30"/>
        <rFont val="Noto Sans CJK SC"/>
        <family val="2"/>
      </rPr>
      <t xml:space="preserve">？</t>
    </r>
  </si>
  <si>
    <r>
      <rPr>
        <sz val="9"/>
        <color rgb="FF1F2A30"/>
        <rFont val="Arial"/>
        <family val="0"/>
        <charset val="1"/>
      </rPr>
      <t xml:space="preserve">Calculation methoud is same as above</t>
    </r>
    <r>
      <rPr>
        <sz val="9"/>
        <color rgb="FF1F2A30"/>
        <rFont val="Noto Sans CJK SC"/>
        <family val="2"/>
      </rPr>
      <t xml:space="preserve">； </t>
    </r>
    <r>
      <rPr>
        <sz val="9"/>
        <color rgb="FF1F2A30"/>
        <rFont val="Arial"/>
        <family val="0"/>
        <charset val="1"/>
      </rPr>
      <t xml:space="preserve">/ If "Yes" for this question, please make sure you also choose "Yes" for Question 38 and 39. / </t>
    </r>
    <r>
      <rPr>
        <sz val="9"/>
        <color rgb="FF1F2A30"/>
        <rFont val="Noto Sans CJK SC"/>
        <family val="2"/>
      </rPr>
      <t xml:space="preserve">计算方法同上； </t>
    </r>
    <r>
      <rPr>
        <sz val="9"/>
        <color rgb="FF1F2A30"/>
        <rFont val="Arial"/>
        <family val="0"/>
        <charset val="1"/>
      </rPr>
      <t xml:space="preserve">/ </t>
    </r>
    <r>
      <rPr>
        <sz val="9"/>
        <color rgb="FF1F2A30"/>
        <rFont val="Noto Sans CJK SC"/>
        <family val="2"/>
      </rPr>
      <t xml:space="preserve">如果回答为“是“</t>
    </r>
    <r>
      <rPr>
        <sz val="9"/>
        <color rgb="FF1F2A30"/>
        <rFont val="Arial"/>
        <family val="0"/>
        <charset val="1"/>
      </rPr>
      <t xml:space="preserve">, </t>
    </r>
    <r>
      <rPr>
        <sz val="9"/>
        <color rgb="FF1F2A30"/>
        <rFont val="Noto Sans CJK SC"/>
        <family val="2"/>
      </rPr>
      <t xml:space="preserve">请确保在问题</t>
    </r>
    <r>
      <rPr>
        <sz val="9"/>
        <color rgb="FF1F2A30"/>
        <rFont val="Arial"/>
        <family val="0"/>
        <charset val="1"/>
      </rPr>
      <t xml:space="preserve">38</t>
    </r>
    <r>
      <rPr>
        <sz val="9"/>
        <color rgb="FF1F2A30"/>
        <rFont val="Noto Sans CJK SC"/>
        <family val="2"/>
      </rPr>
      <t xml:space="preserve">和问题</t>
    </r>
    <r>
      <rPr>
        <sz val="9"/>
        <color rgb="FF1F2A30"/>
        <rFont val="Arial"/>
        <family val="0"/>
        <charset val="1"/>
      </rPr>
      <t xml:space="preserve">39</t>
    </r>
    <r>
      <rPr>
        <sz val="9"/>
        <color rgb="FF1F2A30"/>
        <rFont val="Noto Sans CJK SC"/>
        <family val="2"/>
      </rPr>
      <t xml:space="preserve">的回答为</t>
    </r>
    <r>
      <rPr>
        <sz val="9"/>
        <color rgb="FF1F2A30"/>
        <rFont val="Arial"/>
        <family val="0"/>
        <charset val="1"/>
      </rPr>
      <t xml:space="preserve">"</t>
    </r>
    <r>
      <rPr>
        <sz val="9"/>
        <color rgb="FF1F2A30"/>
        <rFont val="Noto Sans CJK SC"/>
        <family val="2"/>
      </rPr>
      <t xml:space="preserve">是</t>
    </r>
    <r>
      <rPr>
        <sz val="9"/>
        <color rgb="FF1F2A30"/>
        <rFont val="Arial"/>
        <family val="0"/>
        <charset val="1"/>
      </rPr>
      <t xml:space="preserve">"</t>
    </r>
    <r>
      <rPr>
        <sz val="9"/>
        <color rgb="FF1F2A30"/>
        <rFont val="Noto Sans CJK SC"/>
        <family val="2"/>
      </rPr>
      <t xml:space="preserve">。</t>
    </r>
  </si>
  <si>
    <r>
      <rPr>
        <sz val="9"/>
        <color rgb="FF1F2A30"/>
        <rFont val="Noto Sans CJK SC"/>
        <family val="2"/>
      </rPr>
      <t xml:space="preserve">生产</t>
    </r>
    <r>
      <rPr>
        <sz val="9"/>
        <color rgb="FF1F2A30"/>
        <rFont val="Arial"/>
        <family val="0"/>
        <charset val="1"/>
      </rPr>
      <t xml:space="preserve">-</t>
    </r>
    <r>
      <rPr>
        <sz val="9"/>
        <color rgb="FF1F2A30"/>
        <rFont val="Noto Sans CJK SC"/>
        <family val="2"/>
      </rPr>
      <t xml:space="preserve">固废资源化</t>
    </r>
  </si>
  <si>
    <r>
      <rPr>
        <sz val="9"/>
        <color rgb="FF1F2A30"/>
        <rFont val="Noto Sans CJK SC"/>
        <family val="2"/>
      </rPr>
      <t xml:space="preserve">工厂工业固体废物综合利用率是否大于</t>
    </r>
    <r>
      <rPr>
        <sz val="9"/>
        <color rgb="FF1F2A30"/>
        <rFont val="Arial"/>
        <family val="0"/>
        <charset val="1"/>
      </rPr>
      <t xml:space="preserve">40%</t>
    </r>
    <r>
      <rPr>
        <sz val="9"/>
        <color rgb="FF1F2A30"/>
        <rFont val="Noto Sans CJK SC"/>
        <family val="2"/>
      </rPr>
      <t xml:space="preserve">？</t>
    </r>
  </si>
  <si>
    <t xml:space="preserve">Is the factory's utilization rate of industrial solid waste greater than 40%?</t>
  </si>
  <si>
    <t xml:space="preserve">If “Yes", please describe in column L: the value of parameters in the formula of comprehensive utilization rate of industrial solid waste. Please reply as ”In 2021, Zr is xx tons, Z is xx tons, Zw is xx tons, and Lr is xx%.“ / Comprehensive utilization refers to the extraction or conversion of solid waste into usable resources, energy and other raw materials through recovery, processing, recycling, </t>
  </si>
  <si>
    <t xml:space="preserve">工厂工业废弃物目前是否实现了零填埋？</t>
  </si>
  <si>
    <t xml:space="preserve">Has the factory achieved zero landfilling for waste?</t>
  </si>
  <si>
    <r>
      <rPr>
        <sz val="9"/>
        <color rgb="FF1F2A30"/>
        <rFont val="Arial"/>
        <family val="0"/>
        <charset val="1"/>
      </rPr>
      <t xml:space="preserve">If “Yes", please describe how you achieved zero landfill in column L.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栏描述如何实现的零填埋。</t>
    </r>
  </si>
  <si>
    <r>
      <rPr>
        <sz val="9"/>
        <color rgb="FF1F2A30"/>
        <rFont val="Noto Sans CJK SC"/>
        <family val="2"/>
      </rPr>
      <t xml:space="preserve">产品</t>
    </r>
    <r>
      <rPr>
        <sz val="9"/>
        <color rgb="FF1F2A30"/>
        <rFont val="Arial"/>
        <family val="0"/>
        <charset val="1"/>
      </rPr>
      <t xml:space="preserve">-</t>
    </r>
    <r>
      <rPr>
        <sz val="9"/>
        <color rgb="FF1F2A30"/>
        <rFont val="Noto Sans CJK SC"/>
        <family val="2"/>
      </rPr>
      <t xml:space="preserve">影响评价</t>
    </r>
  </si>
  <si>
    <r>
      <rPr>
        <sz val="9"/>
        <color rgb="FF1F2A30"/>
        <rFont val="Noto Sans CJK SC"/>
        <family val="2"/>
      </rPr>
      <t xml:space="preserve">是否对产品生产过程中的环境影响进行了评估</t>
    </r>
    <r>
      <rPr>
        <sz val="9"/>
        <color rgb="FF1F2A30"/>
        <rFont val="Arial"/>
        <family val="0"/>
        <charset val="1"/>
      </rPr>
      <t xml:space="preserve">(</t>
    </r>
    <r>
      <rPr>
        <sz val="9"/>
        <color rgb="FF1F2A30"/>
        <rFont val="Noto Sans CJK SC"/>
        <family val="2"/>
      </rPr>
      <t xml:space="preserve">气候变化</t>
    </r>
    <r>
      <rPr>
        <sz val="9"/>
        <color rgb="FF1F2A30"/>
        <rFont val="Arial"/>
        <family val="0"/>
        <charset val="1"/>
      </rPr>
      <t xml:space="preserve">/</t>
    </r>
    <r>
      <rPr>
        <sz val="9"/>
        <color rgb="FF1F2A30"/>
        <rFont val="Noto Sans CJK SC"/>
        <family val="2"/>
      </rPr>
      <t xml:space="preserve">全球变暖之外的影响）？</t>
    </r>
  </si>
  <si>
    <t xml:space="preserve">Have you conducted assessment of environmental impacts from the product's production process (other than climate change/global warming potential)?</t>
  </si>
  <si>
    <t xml:space="preserve">If "Yes", please describe in column L: (1) evaluation content; (2) standards adopted; (3) main stages covered; (4) main conclusions / (1) Examples of evaluation content: acidification/eutrophication of water bodies/destruction of the ozone layer/water ecotoxicity/land use change, etc. / (2) Examples of evaluation standards: GB/T 32161, ISO14044 / (3) Examples of the main stages covered: raw material pro</t>
  </si>
  <si>
    <r>
      <rPr>
        <sz val="9"/>
        <color rgb="FF1F2A30"/>
        <rFont val="Arial"/>
        <family val="0"/>
        <charset val="1"/>
      </rPr>
      <t xml:space="preserve">#2 LCA </t>
    </r>
    <r>
      <rPr>
        <sz val="9"/>
        <color rgb="FF1F2A30"/>
        <rFont val="Noto Sans CJK SC"/>
        <family val="2"/>
      </rPr>
      <t xml:space="preserve">影响评价</t>
    </r>
  </si>
  <si>
    <t xml:space="preserve">是否根据上述评价结论设定了进一步优化目标？</t>
  </si>
  <si>
    <t xml:space="preserve">Have further optimization targets been set based on the above evaluation conclusions?</t>
  </si>
  <si>
    <r>
      <rPr>
        <sz val="9"/>
        <color rgb="FF1F2A30"/>
        <rFont val="Arial"/>
        <family val="0"/>
        <charset val="1"/>
      </rPr>
      <t xml:space="preserve">If “Yes", please describe the optimization targets in column L.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栏描述设定的优化目标。</t>
    </r>
  </si>
  <si>
    <t xml:space="preserve">是否进行了产品的人体健康影响评价？</t>
  </si>
  <si>
    <t xml:space="preserve">Have you conducted evaluation on the product's human health impacts?</t>
  </si>
  <si>
    <t xml:space="preserve">If "Yes", please describe in column L: (1) evaluation content; (2) standards adopted; (3) main stages covered; (4) main conclusions / (1) Examples of evaluation content: human toxicity-carcinogenic/human toxicity-non-carcinogenic/inhalable particulate matters (such as particles produced by brake components during braking)/ionizing radiation-human health effects, etc. / (2) Examples of evaluation stand</t>
  </si>
  <si>
    <r>
      <rPr>
        <sz val="9"/>
        <color rgb="FF1F2A30"/>
        <rFont val="Noto Sans CJK SC"/>
        <family val="2"/>
      </rPr>
      <t xml:space="preserve">产品</t>
    </r>
    <r>
      <rPr>
        <sz val="9"/>
        <color rgb="FF1F2A30"/>
        <rFont val="Arial"/>
        <family val="0"/>
        <charset val="1"/>
      </rPr>
      <t xml:space="preserve">-</t>
    </r>
    <r>
      <rPr>
        <sz val="9"/>
        <color rgb="FF1F2A30"/>
        <rFont val="Noto Sans CJK SC"/>
        <family val="2"/>
      </rPr>
      <t xml:space="preserve">有毒有害物质</t>
    </r>
  </si>
  <si>
    <t xml:space="preserve">工厂是否制定了受限物质名单？</t>
  </si>
  <si>
    <t xml:space="preserve">Has the factory established a list of restricted substances?</t>
  </si>
  <si>
    <t xml:space="preserve">If "Yes", please describe restricted substances in column L. If more than 10 types, please list out the top 10.  / Restriction is a tool to prevent chemicals from causing unacceptable risks to human health and the environment. Restrictions may restrict or prohibit the manufacture or use of certain substances, as well as allowing them to enter the market. The restrictions applies to any chemical subs</t>
  </si>
  <si>
    <r>
      <rPr>
        <sz val="9"/>
        <color rgb="FF1F2A30"/>
        <rFont val="Arial"/>
        <family val="0"/>
        <charset val="1"/>
      </rPr>
      <t xml:space="preserve">#2 LCA </t>
    </r>
    <r>
      <rPr>
        <sz val="9"/>
        <color rgb="FF1F2A30"/>
        <rFont val="Noto Sans CJK SC"/>
        <family val="2"/>
      </rPr>
      <t xml:space="preserve">受限物质</t>
    </r>
  </si>
  <si>
    <t xml:space="preserve">是否核实产品中原料中是否禁用或者限用物质？</t>
  </si>
  <si>
    <t xml:space="preserve">Have you verified whether there are prohibited or restricted substances in the raw materials of the product?</t>
  </si>
  <si>
    <r>
      <rPr>
        <sz val="9"/>
        <color rgb="FF1F2A30"/>
        <rFont val="Arial"/>
        <family val="0"/>
        <charset val="1"/>
      </rPr>
      <t xml:space="preserve">If "Yes", please describe in column L: (1) measures taken; (2) verification results on whether the product contains prohibited or restricted substances. / Examples of measures: through safety data sheets (SDS) / International Material Data System (IMDS) / third-party laboratory testing and other methods.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t>
    </r>
    <r>
      <rPr>
        <sz val="9"/>
        <color rgb="FF1F2A30"/>
        <rFont val="Arial"/>
        <family val="0"/>
        <charset val="1"/>
      </rPr>
      <t xml:space="preserve">(1)</t>
    </r>
    <r>
      <rPr>
        <sz val="9"/>
        <color rgb="FF1F2A30"/>
        <rFont val="Noto Sans CJK SC"/>
        <family val="2"/>
      </rPr>
      <t xml:space="preserve">采取的核实的方法；</t>
    </r>
    <r>
      <rPr>
        <sz val="9"/>
        <color rgb="FF1F2A30"/>
        <rFont val="Arial"/>
        <family val="0"/>
        <charset val="1"/>
      </rPr>
      <t xml:space="preserve">(2)</t>
    </r>
    <r>
      <rPr>
        <sz val="9"/>
        <color rgb="FF1F2A30"/>
        <rFont val="Noto Sans CJK SC"/>
        <family val="2"/>
      </rPr>
      <t xml:space="preserve">核实结果中产品中是否含有禁用或者限用物质。 </t>
    </r>
    <r>
      <rPr>
        <sz val="9"/>
        <color rgb="FF1F2A30"/>
        <rFont val="Arial"/>
        <family val="0"/>
        <charset val="1"/>
      </rPr>
      <t xml:space="preserve">/ </t>
    </r>
    <r>
      <rPr>
        <sz val="9"/>
        <color rgb="FF1F2A30"/>
        <rFont val="Noto Sans CJK SC"/>
        <family val="2"/>
      </rPr>
      <t xml:space="preserve">核实方法举例：通过安全数据表（</t>
    </r>
    <r>
      <rPr>
        <sz val="9"/>
        <color rgb="FF1F2A30"/>
        <rFont val="Arial"/>
        <family val="0"/>
        <charset val="1"/>
      </rPr>
      <t xml:space="preserve">SDS-safety data sheet</t>
    </r>
    <r>
      <rPr>
        <sz val="9"/>
        <color rgb="FF1F2A30"/>
        <rFont val="Noto Sans CJK SC"/>
        <family val="2"/>
      </rPr>
      <t xml:space="preserve">）</t>
    </r>
    <r>
      <rPr>
        <sz val="9"/>
        <color rgb="FF1F2A30"/>
        <rFont val="Arial"/>
        <family val="0"/>
        <charset val="1"/>
      </rPr>
      <t xml:space="preserve">/</t>
    </r>
    <r>
      <rPr>
        <sz val="9"/>
        <color rgb="FF1F2A30"/>
        <rFont val="Noto Sans CJK SC"/>
        <family val="2"/>
      </rPr>
      <t xml:space="preserve">国际材料数据系统</t>
    </r>
  </si>
  <si>
    <t xml:space="preserve">产品标识或者说明书中是否标注禁用或者限用物质含量信息？</t>
  </si>
  <si>
    <t xml:space="preserve">Does the product label or manual indicate the content of prohibited or restricted substances?</t>
  </si>
  <si>
    <r>
      <rPr>
        <sz val="9"/>
        <color rgb="FF1F2A30"/>
        <rFont val="Noto Sans CJK SC"/>
        <family val="2"/>
      </rPr>
      <t xml:space="preserve">计划</t>
    </r>
    <r>
      <rPr>
        <sz val="9"/>
        <color rgb="FF1F2A30"/>
        <rFont val="Arial"/>
        <family val="0"/>
        <charset val="1"/>
      </rPr>
      <t xml:space="preserve">3</t>
    </r>
    <r>
      <rPr>
        <sz val="9"/>
        <color rgb="FF1F2A30"/>
        <rFont val="Noto Sans CJK SC"/>
        <family val="2"/>
      </rPr>
      <t xml:space="preserve">年内进一步降低产品中禁用或者限用物质的使用？</t>
    </r>
  </si>
  <si>
    <t xml:space="preserve">Do you have plan to further reduce the use of prohibited or restricted substances in products within 3 years?</t>
  </si>
  <si>
    <r>
      <rPr>
        <sz val="9"/>
        <color rgb="FF1F2A30"/>
        <rFont val="Arial"/>
        <family val="0"/>
        <charset val="1"/>
      </rPr>
      <t xml:space="preserve">If "Yes", please describe in column L: (1) target substances; (2) targets .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t>
    </r>
    <r>
      <rPr>
        <sz val="9"/>
        <color rgb="FF1F2A30"/>
        <rFont val="Arial"/>
        <family val="0"/>
        <charset val="1"/>
      </rPr>
      <t xml:space="preserve">(1)</t>
    </r>
    <r>
      <rPr>
        <sz val="9"/>
        <color rgb="FF1F2A30"/>
        <rFont val="Noto Sans CJK SC"/>
        <family val="2"/>
      </rPr>
      <t xml:space="preserve">目标物质名称；</t>
    </r>
    <r>
      <rPr>
        <sz val="9"/>
        <color rgb="FF1F2A30"/>
        <rFont val="Arial"/>
        <family val="0"/>
        <charset val="1"/>
      </rPr>
      <t xml:space="preserve">2</t>
    </r>
    <r>
      <rPr>
        <sz val="9"/>
        <color rgb="FF1F2A30"/>
        <rFont val="Noto Sans CJK SC"/>
        <family val="2"/>
      </rPr>
      <t xml:space="preserve">目标。</t>
    </r>
  </si>
  <si>
    <r>
      <rPr>
        <sz val="9"/>
        <color rgb="FF1F2A30"/>
        <rFont val="Noto Sans CJK SC"/>
        <family val="2"/>
      </rPr>
      <t xml:space="preserve">产品</t>
    </r>
    <r>
      <rPr>
        <sz val="9"/>
        <color rgb="FF1F2A30"/>
        <rFont val="Arial"/>
        <family val="0"/>
        <charset val="1"/>
      </rPr>
      <t xml:space="preserve">-</t>
    </r>
    <r>
      <rPr>
        <sz val="9"/>
        <color rgb="FF1F2A30"/>
        <rFont val="Noto Sans CJK SC"/>
        <family val="2"/>
      </rPr>
      <t xml:space="preserve">可再生材料和回收材料</t>
    </r>
  </si>
  <si>
    <t xml:space="preserve">产品中是否使用了可再生材料？</t>
  </si>
  <si>
    <t xml:space="preserve">Are renewable materials used in the product?</t>
  </si>
  <si>
    <t xml:space="preserve">If “Yes”, please describe in column L: (1) the name and weight of the renewable material (kg); (2) which parts use the renewable material; (3) the total weight of a unit of the product (kg). / The proportion of renewable materials refers to the percentage of the total mass of renewable materials in the new product. / Renewable materials refer to resources that can be quickly replenished after human ex</t>
  </si>
  <si>
    <r>
      <rPr>
        <sz val="9"/>
        <color rgb="FF1F2A30"/>
        <rFont val="Arial"/>
        <family val="0"/>
        <charset val="1"/>
      </rPr>
      <t xml:space="preserve">#4 IMDS </t>
    </r>
    <r>
      <rPr>
        <sz val="9"/>
        <color rgb="FF1F2A30"/>
        <rFont val="Noto Sans CJK SC"/>
        <family val="2"/>
      </rPr>
      <t xml:space="preserve">再生材料</t>
    </r>
  </si>
  <si>
    <r>
      <rPr>
        <sz val="9"/>
        <color rgb="FF1F2A30"/>
        <rFont val="Arial"/>
        <family val="0"/>
        <charset val="1"/>
      </rPr>
      <t xml:space="preserve">Polestar SSI</t>
    </r>
    <r>
      <rPr>
        <sz val="9"/>
        <color rgb="FF1F2A30"/>
        <rFont val="Noto Sans CJK SC"/>
        <family val="2"/>
      </rPr>
      <t xml:space="preserve">（基准）</t>
    </r>
    <r>
      <rPr>
        <sz val="9"/>
        <color rgb="FF1F2A30"/>
        <rFont val="Arial"/>
        <family val="0"/>
        <charset val="1"/>
      </rPr>
      <t xml:space="preserve">· </t>
    </r>
    <r>
      <rPr>
        <sz val="9"/>
        <color rgb="FF1F2A30"/>
        <rFont val="Noto Sans CJK SC"/>
        <family val="2"/>
      </rPr>
      <t xml:space="preserve">吉利（再生钢</t>
    </r>
    <r>
      <rPr>
        <sz val="9"/>
        <color rgb="FF1F2A30"/>
        <rFont val="Arial"/>
        <family val="0"/>
        <charset val="1"/>
      </rPr>
      <t xml:space="preserve">20%/</t>
    </r>
    <r>
      <rPr>
        <sz val="9"/>
        <color rgb="FF1F2A30"/>
        <rFont val="Noto Sans CJK SC"/>
        <family val="2"/>
      </rPr>
      <t xml:space="preserve">铝</t>
    </r>
    <r>
      <rPr>
        <sz val="9"/>
        <color rgb="FF1F2A30"/>
        <rFont val="Arial"/>
        <family val="0"/>
        <charset val="1"/>
      </rPr>
      <t xml:space="preserve">30%/</t>
    </r>
    <r>
      <rPr>
        <sz val="9"/>
        <color rgb="FF1F2A30"/>
        <rFont val="Noto Sans CJK SC"/>
        <family val="2"/>
      </rPr>
      <t xml:space="preserve">塑料</t>
    </r>
    <r>
      <rPr>
        <sz val="9"/>
        <color rgb="FF1F2A30"/>
        <rFont val="Arial"/>
        <family val="0"/>
        <charset val="1"/>
      </rPr>
      <t xml:space="preserve">25%</t>
    </r>
    <r>
      <rPr>
        <sz val="9"/>
        <color rgb="FF1F2A30"/>
        <rFont val="Noto Sans CJK SC"/>
        <family val="2"/>
      </rPr>
      <t xml:space="preserve">）</t>
    </r>
    <r>
      <rPr>
        <sz val="9"/>
        <color rgb="FF1F2A30"/>
        <rFont val="Arial"/>
        <family val="0"/>
        <charset val="1"/>
      </rPr>
      <t xml:space="preserve">· </t>
    </r>
    <r>
      <rPr>
        <sz val="9"/>
        <color rgb="FF1F2A30"/>
        <rFont val="Noto Sans CJK SC"/>
        <family val="2"/>
      </rPr>
      <t xml:space="preserve">奇瑞（再生铝一体压铸）</t>
    </r>
  </si>
  <si>
    <r>
      <rPr>
        <sz val="9"/>
        <color rgb="FF1F2A30"/>
        <rFont val="Noto Sans CJK SC"/>
        <family val="2"/>
      </rPr>
      <t xml:space="preserve">产品中的回收材料比例是否大于</t>
    </r>
    <r>
      <rPr>
        <sz val="9"/>
        <color rgb="FF1F2A30"/>
        <rFont val="Arial"/>
        <family val="0"/>
        <charset val="1"/>
      </rPr>
      <t xml:space="preserve">5%</t>
    </r>
    <r>
      <rPr>
        <sz val="9"/>
        <color rgb="FF1F2A30"/>
        <rFont val="Noto Sans CJK SC"/>
        <family val="2"/>
      </rPr>
      <t xml:space="preserve">？</t>
    </r>
  </si>
  <si>
    <t xml:space="preserve">Is the proportion of recycled materials in the product greater than 5%?</t>
  </si>
  <si>
    <r>
      <rPr>
        <sz val="9"/>
        <color rgb="FF1F2A30"/>
        <rFont val="Arial"/>
        <family val="0"/>
        <charset val="1"/>
      </rPr>
      <t xml:space="preserve">If “Yes”, please describe in column L: (1) The name and weight of the recycled material (kg); (2) total weight of a unit of the product(kg) / The percentage of recycled materials refers to the percentage of the weight of recycled materials in the total weight of the product.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t>
    </r>
    <r>
      <rPr>
        <sz val="9"/>
        <color rgb="FF1F2A30"/>
        <rFont val="Arial"/>
        <family val="0"/>
        <charset val="1"/>
      </rPr>
      <t xml:space="preserve">(1)</t>
    </r>
    <r>
      <rPr>
        <sz val="9"/>
        <color rgb="FF1F2A30"/>
        <rFont val="Noto Sans CJK SC"/>
        <family val="2"/>
      </rPr>
      <t xml:space="preserve">回收材料的名称和重量（公斤）；</t>
    </r>
    <r>
      <rPr>
        <sz val="9"/>
        <color rgb="FF1F2A30"/>
        <rFont val="Arial"/>
        <family val="0"/>
        <charset val="1"/>
      </rPr>
      <t xml:space="preserve">(2)</t>
    </r>
    <r>
      <rPr>
        <sz val="9"/>
        <color rgb="FF1F2A30"/>
        <rFont val="Noto Sans CJK SC"/>
        <family val="2"/>
      </rPr>
      <t xml:space="preserve">单位产品总重量（公斤）  </t>
    </r>
    <r>
      <rPr>
        <sz val="9"/>
        <color rgb="FF1F2A30"/>
        <rFont val="Arial"/>
        <family val="0"/>
        <charset val="1"/>
      </rPr>
      <t xml:space="preserve">/ </t>
    </r>
    <r>
      <rPr>
        <sz val="9"/>
        <color rgb="FF1F2A30"/>
        <rFont val="Noto Sans CJK SC"/>
        <family val="2"/>
      </rPr>
      <t xml:space="preserve">回收材料比例是指新产品中回收材料质量之和占新产品质量的百分比。</t>
    </r>
  </si>
  <si>
    <r>
      <rPr>
        <sz val="9"/>
        <color rgb="FF1F2A30"/>
        <rFont val="Noto Sans CJK SC"/>
        <family val="2"/>
      </rPr>
      <t xml:space="preserve">产品中的回收材料比例是否大于</t>
    </r>
    <r>
      <rPr>
        <sz val="9"/>
        <color rgb="FF1F2A30"/>
        <rFont val="Arial"/>
        <family val="0"/>
        <charset val="1"/>
      </rPr>
      <t xml:space="preserve">15%</t>
    </r>
    <r>
      <rPr>
        <sz val="9"/>
        <color rgb="FF1F2A30"/>
        <rFont val="Noto Sans CJK SC"/>
        <family val="2"/>
      </rPr>
      <t xml:space="preserve">？</t>
    </r>
  </si>
  <si>
    <t xml:space="preserve">Is the proportion of recycled materials in the product greater than 15%?</t>
  </si>
  <si>
    <r>
      <rPr>
        <sz val="9"/>
        <color rgb="FF1F2A30"/>
        <rFont val="Arial"/>
        <family val="0"/>
        <charset val="1"/>
      </rPr>
      <t xml:space="preserve">If “Yes”, please  make sure you also choose "Yes" for Question 52 and describe in column L: (1) The name and weight of the recycled material (kg); (2) total weight of a unit of the product(kg). / </t>
    </r>
    <r>
      <rPr>
        <sz val="9"/>
        <color rgb="FF1F2A30"/>
        <rFont val="Noto Sans CJK SC"/>
        <family val="2"/>
      </rPr>
      <t xml:space="preserve">如果‘是’，请确保在问题</t>
    </r>
    <r>
      <rPr>
        <sz val="9"/>
        <color rgb="FF1F2A30"/>
        <rFont val="Arial"/>
        <family val="0"/>
        <charset val="1"/>
      </rPr>
      <t xml:space="preserve">52</t>
    </r>
    <r>
      <rPr>
        <sz val="9"/>
        <color rgb="FF1F2A30"/>
        <rFont val="Noto Sans CJK SC"/>
        <family val="2"/>
      </rPr>
      <t xml:space="preserve">的回答为</t>
    </r>
    <r>
      <rPr>
        <sz val="9"/>
        <color rgb="FF1F2A30"/>
        <rFont val="Arial"/>
        <family val="0"/>
        <charset val="1"/>
      </rPr>
      <t xml:space="preserve">"</t>
    </r>
    <r>
      <rPr>
        <sz val="9"/>
        <color rgb="FF1F2A30"/>
        <rFont val="Noto Sans CJK SC"/>
        <family val="2"/>
      </rPr>
      <t xml:space="preserve">是</t>
    </r>
    <r>
      <rPr>
        <sz val="9"/>
        <color rgb="FF1F2A30"/>
        <rFont val="Arial"/>
        <family val="0"/>
        <charset val="1"/>
      </rPr>
      <t xml:space="preserve">"</t>
    </r>
    <r>
      <rPr>
        <sz val="9"/>
        <color rgb="FF1F2A30"/>
        <rFont val="Noto Sans CJK SC"/>
        <family val="2"/>
      </rPr>
      <t xml:space="preserve">，并在</t>
    </r>
    <r>
      <rPr>
        <sz val="9"/>
        <color rgb="FF1F2A30"/>
        <rFont val="Arial"/>
        <family val="0"/>
        <charset val="1"/>
      </rPr>
      <t xml:space="preserve">L</t>
    </r>
    <r>
      <rPr>
        <sz val="9"/>
        <color rgb="FF1F2A30"/>
        <rFont val="Noto Sans CJK SC"/>
        <family val="2"/>
      </rPr>
      <t xml:space="preserve">栏描述：</t>
    </r>
    <r>
      <rPr>
        <sz val="9"/>
        <color rgb="FF1F2A30"/>
        <rFont val="Arial"/>
        <family val="0"/>
        <charset val="1"/>
      </rPr>
      <t xml:space="preserve">(1)</t>
    </r>
    <r>
      <rPr>
        <sz val="9"/>
        <color rgb="FF1F2A30"/>
        <rFont val="Noto Sans CJK SC"/>
        <family val="2"/>
      </rPr>
      <t xml:space="preserve">回收材料的名称和重量（公斤）；</t>
    </r>
    <r>
      <rPr>
        <sz val="9"/>
        <color rgb="FF1F2A30"/>
        <rFont val="Arial"/>
        <family val="0"/>
        <charset val="1"/>
      </rPr>
      <t xml:space="preserve">(2)</t>
    </r>
    <r>
      <rPr>
        <sz val="9"/>
        <color rgb="FF1F2A30"/>
        <rFont val="Noto Sans CJK SC"/>
        <family val="2"/>
      </rPr>
      <t xml:space="preserve">单位产品总重量（公斤）。</t>
    </r>
  </si>
  <si>
    <r>
      <rPr>
        <sz val="9"/>
        <color rgb="FF1F2A30"/>
        <rFont val="Noto Sans CJK SC"/>
        <family val="2"/>
      </rPr>
      <t xml:space="preserve">产品中的回收材料比例是否大于</t>
    </r>
    <r>
      <rPr>
        <sz val="9"/>
        <color rgb="FF1F2A30"/>
        <rFont val="Arial"/>
        <family val="0"/>
        <charset val="1"/>
      </rPr>
      <t xml:space="preserve">30%</t>
    </r>
    <r>
      <rPr>
        <sz val="9"/>
        <color rgb="FF1F2A30"/>
        <rFont val="Noto Sans CJK SC"/>
        <family val="2"/>
      </rPr>
      <t xml:space="preserve">？</t>
    </r>
  </si>
  <si>
    <t xml:space="preserve">Is the proportion of recycled materials in the product greater than 30%?</t>
  </si>
  <si>
    <r>
      <rPr>
        <sz val="9"/>
        <color rgb="FF1F2A30"/>
        <rFont val="Arial"/>
        <family val="0"/>
        <charset val="1"/>
      </rPr>
      <t xml:space="preserve">If “Yes”, please make sure you also choose "Yes" for Question 52 and 53 and describe in column L: (1) The name and weight of the recycled material (kg); (2) total weight of a unit of the product(kg) / </t>
    </r>
    <r>
      <rPr>
        <sz val="9"/>
        <color rgb="FF1F2A30"/>
        <rFont val="Noto Sans CJK SC"/>
        <family val="2"/>
      </rPr>
      <t xml:space="preserve">如果‘是’，请确保在问题</t>
    </r>
    <r>
      <rPr>
        <sz val="9"/>
        <color rgb="FF1F2A30"/>
        <rFont val="Arial"/>
        <family val="0"/>
        <charset val="1"/>
      </rPr>
      <t xml:space="preserve">52</t>
    </r>
    <r>
      <rPr>
        <sz val="9"/>
        <color rgb="FF1F2A30"/>
        <rFont val="Noto Sans CJK SC"/>
        <family val="2"/>
      </rPr>
      <t xml:space="preserve">和</t>
    </r>
    <r>
      <rPr>
        <sz val="9"/>
        <color rgb="FF1F2A30"/>
        <rFont val="Arial"/>
        <family val="0"/>
        <charset val="1"/>
      </rPr>
      <t xml:space="preserve">53</t>
    </r>
    <r>
      <rPr>
        <sz val="9"/>
        <color rgb="FF1F2A30"/>
        <rFont val="Noto Sans CJK SC"/>
        <family val="2"/>
      </rPr>
      <t xml:space="preserve">的回答为</t>
    </r>
    <r>
      <rPr>
        <sz val="9"/>
        <color rgb="FF1F2A30"/>
        <rFont val="Arial"/>
        <family val="0"/>
        <charset val="1"/>
      </rPr>
      <t xml:space="preserve">"</t>
    </r>
    <r>
      <rPr>
        <sz val="9"/>
        <color rgb="FF1F2A30"/>
        <rFont val="Noto Sans CJK SC"/>
        <family val="2"/>
      </rPr>
      <t xml:space="preserve">是</t>
    </r>
    <r>
      <rPr>
        <sz val="9"/>
        <color rgb="FF1F2A30"/>
        <rFont val="Arial"/>
        <family val="0"/>
        <charset val="1"/>
      </rPr>
      <t xml:space="preserve">"</t>
    </r>
    <r>
      <rPr>
        <sz val="9"/>
        <color rgb="FF1F2A30"/>
        <rFont val="Noto Sans CJK SC"/>
        <family val="2"/>
      </rPr>
      <t xml:space="preserve">，在</t>
    </r>
    <r>
      <rPr>
        <sz val="9"/>
        <color rgb="FF1F2A30"/>
        <rFont val="Arial"/>
        <family val="0"/>
        <charset val="1"/>
      </rPr>
      <t xml:space="preserve">L</t>
    </r>
    <r>
      <rPr>
        <sz val="9"/>
        <color rgb="FF1F2A30"/>
        <rFont val="Noto Sans CJK SC"/>
        <family val="2"/>
      </rPr>
      <t xml:space="preserve">栏描述：</t>
    </r>
    <r>
      <rPr>
        <sz val="9"/>
        <color rgb="FF1F2A30"/>
        <rFont val="Arial"/>
        <family val="0"/>
        <charset val="1"/>
      </rPr>
      <t xml:space="preserve">(1)</t>
    </r>
    <r>
      <rPr>
        <sz val="9"/>
        <color rgb="FF1F2A30"/>
        <rFont val="Noto Sans CJK SC"/>
        <family val="2"/>
      </rPr>
      <t xml:space="preserve">回收材料的名称和重量（公斤）；</t>
    </r>
    <r>
      <rPr>
        <sz val="9"/>
        <color rgb="FF1F2A30"/>
        <rFont val="Arial"/>
        <family val="0"/>
        <charset val="1"/>
      </rPr>
      <t xml:space="preserve">(2)</t>
    </r>
    <r>
      <rPr>
        <sz val="9"/>
        <color rgb="FF1F2A30"/>
        <rFont val="Noto Sans CJK SC"/>
        <family val="2"/>
      </rPr>
      <t xml:space="preserve">单位产品总重量（公斤）</t>
    </r>
  </si>
  <si>
    <r>
      <rPr>
        <sz val="9"/>
        <color rgb="FF1F2A30"/>
        <rFont val="Noto Sans CJK SC"/>
        <family val="2"/>
      </rPr>
      <t xml:space="preserve">产品包装实际回收率大于</t>
    </r>
    <r>
      <rPr>
        <sz val="9"/>
        <color rgb="FF1F2A30"/>
        <rFont val="Arial"/>
        <family val="0"/>
        <charset val="1"/>
      </rPr>
      <t xml:space="preserve">50%?</t>
    </r>
  </si>
  <si>
    <t xml:space="preserve">Is the actual recycling rate of product packaging greater than 50%?</t>
  </si>
  <si>
    <r>
      <rPr>
        <sz val="9"/>
        <color rgb="FF1F2A30"/>
        <rFont val="Arial"/>
        <family val="0"/>
        <charset val="1"/>
      </rPr>
      <t xml:space="preserve">If “Yes”, please make sure you also choose "Yes" for Question 52, 53 and 54 and describe in column L: (1) recycling rate of packaging; (2) recycling methods. / </t>
    </r>
    <r>
      <rPr>
        <sz val="9"/>
        <color rgb="FF1F2A30"/>
        <rFont val="Noto Sans CJK SC"/>
        <family val="2"/>
      </rPr>
      <t xml:space="preserve">如果‘是’，请确保在问题</t>
    </r>
    <r>
      <rPr>
        <sz val="9"/>
        <color rgb="FF1F2A30"/>
        <rFont val="Arial"/>
        <family val="0"/>
        <charset val="1"/>
      </rPr>
      <t xml:space="preserve">52, 53</t>
    </r>
    <r>
      <rPr>
        <sz val="9"/>
        <color rgb="FF1F2A30"/>
        <rFont val="Noto Sans CJK SC"/>
        <family val="2"/>
      </rPr>
      <t xml:space="preserve">和</t>
    </r>
    <r>
      <rPr>
        <sz val="9"/>
        <color rgb="FF1F2A30"/>
        <rFont val="Arial"/>
        <family val="0"/>
        <charset val="1"/>
      </rPr>
      <t xml:space="preserve">54</t>
    </r>
    <r>
      <rPr>
        <sz val="9"/>
        <color rgb="FF1F2A30"/>
        <rFont val="Noto Sans CJK SC"/>
        <family val="2"/>
      </rPr>
      <t xml:space="preserve">的回答为</t>
    </r>
    <r>
      <rPr>
        <sz val="9"/>
        <color rgb="FF1F2A30"/>
        <rFont val="Arial"/>
        <family val="0"/>
        <charset val="1"/>
      </rPr>
      <t xml:space="preserve">"</t>
    </r>
    <r>
      <rPr>
        <sz val="9"/>
        <color rgb="FF1F2A30"/>
        <rFont val="Noto Sans CJK SC"/>
        <family val="2"/>
      </rPr>
      <t xml:space="preserve">是</t>
    </r>
    <r>
      <rPr>
        <sz val="9"/>
        <color rgb="FF1F2A30"/>
        <rFont val="Arial"/>
        <family val="0"/>
        <charset val="1"/>
      </rPr>
      <t xml:space="preserve">"</t>
    </r>
    <r>
      <rPr>
        <sz val="9"/>
        <color rgb="FF1F2A30"/>
        <rFont val="Noto Sans CJK SC"/>
        <family val="2"/>
      </rPr>
      <t xml:space="preserve">，并在</t>
    </r>
    <r>
      <rPr>
        <sz val="9"/>
        <color rgb="FF1F2A30"/>
        <rFont val="Arial"/>
        <family val="0"/>
        <charset val="1"/>
      </rPr>
      <t xml:space="preserve">L</t>
    </r>
    <r>
      <rPr>
        <sz val="9"/>
        <color rgb="FF1F2A30"/>
        <rFont val="Noto Sans CJK SC"/>
        <family val="2"/>
      </rPr>
      <t xml:space="preserve">栏描述：</t>
    </r>
    <r>
      <rPr>
        <sz val="9"/>
        <color rgb="FF1F2A30"/>
        <rFont val="Arial"/>
        <family val="0"/>
        <charset val="1"/>
      </rPr>
      <t xml:space="preserve">(1)</t>
    </r>
    <r>
      <rPr>
        <sz val="9"/>
        <color rgb="FF1F2A30"/>
        <rFont val="Noto Sans CJK SC"/>
        <family val="2"/>
      </rPr>
      <t xml:space="preserve">产品包装的回收率；</t>
    </r>
    <r>
      <rPr>
        <sz val="9"/>
        <color rgb="FF1F2A30"/>
        <rFont val="Arial"/>
        <family val="0"/>
        <charset val="1"/>
      </rPr>
      <t xml:space="preserve">(2)</t>
    </r>
    <r>
      <rPr>
        <sz val="9"/>
        <color rgb="FF1F2A30"/>
        <rFont val="Noto Sans CJK SC"/>
        <family val="2"/>
      </rPr>
      <t xml:space="preserve">回收方法。</t>
    </r>
  </si>
  <si>
    <r>
      <rPr>
        <sz val="9"/>
        <color rgb="FF1F2A30"/>
        <rFont val="Noto Sans CJK SC"/>
        <family val="2"/>
      </rPr>
      <t xml:space="preserve">未来</t>
    </r>
    <r>
      <rPr>
        <sz val="9"/>
        <color rgb="FF1F2A30"/>
        <rFont val="Arial"/>
        <family val="0"/>
        <charset val="1"/>
      </rPr>
      <t xml:space="preserve">3</t>
    </r>
    <r>
      <rPr>
        <sz val="9"/>
        <color rgb="FF1F2A30"/>
        <rFont val="Noto Sans CJK SC"/>
        <family val="2"/>
      </rPr>
      <t xml:space="preserve">年内是否有计划增加回收材料比例的计划？</t>
    </r>
  </si>
  <si>
    <t xml:space="preserve">Do you have plans to increase the proportion of recycled materials in the next 3 years?</t>
  </si>
  <si>
    <r>
      <rPr>
        <sz val="9"/>
        <color rgb="FF1F2A30"/>
        <rFont val="Arial"/>
        <family val="0"/>
        <charset val="1"/>
      </rPr>
      <t xml:space="preserve">If “Yes”, please describe in column L: (1) target substances; (2) targets.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t>
    </r>
    <r>
      <rPr>
        <sz val="9"/>
        <color rgb="FF1F2A30"/>
        <rFont val="Arial"/>
        <family val="0"/>
        <charset val="1"/>
      </rPr>
      <t xml:space="preserve">(1)</t>
    </r>
    <r>
      <rPr>
        <sz val="9"/>
        <color rgb="FF1F2A30"/>
        <rFont val="Noto Sans CJK SC"/>
        <family val="2"/>
      </rPr>
      <t xml:space="preserve">目标物质名称；</t>
    </r>
    <r>
      <rPr>
        <sz val="9"/>
        <color rgb="FF1F2A30"/>
        <rFont val="Arial"/>
        <family val="0"/>
        <charset val="1"/>
      </rPr>
      <t xml:space="preserve">(2)</t>
    </r>
    <r>
      <rPr>
        <sz val="9"/>
        <color rgb="FF1F2A30"/>
        <rFont val="Noto Sans CJK SC"/>
        <family val="2"/>
      </rPr>
      <t xml:space="preserve">目标比例。</t>
    </r>
  </si>
  <si>
    <r>
      <rPr>
        <sz val="9"/>
        <color rgb="FF1F2A30"/>
        <rFont val="Noto Sans CJK SC"/>
        <family val="2"/>
      </rPr>
      <t xml:space="preserve">物流</t>
    </r>
    <r>
      <rPr>
        <sz val="9"/>
        <color rgb="FF1F2A30"/>
        <rFont val="Arial"/>
        <family val="0"/>
        <charset val="1"/>
      </rPr>
      <t xml:space="preserve">/</t>
    </r>
    <r>
      <rPr>
        <sz val="9"/>
        <color rgb="FF1F2A30"/>
        <rFont val="Noto Sans CJK SC"/>
        <family val="2"/>
      </rPr>
      <t xml:space="preserve">回收体系</t>
    </r>
  </si>
  <si>
    <r>
      <rPr>
        <sz val="9"/>
        <color rgb="FF1F2A30"/>
        <rFont val="Noto Sans CJK SC"/>
        <family val="2"/>
      </rPr>
      <t xml:space="preserve">采用轻量化的包装设计</t>
    </r>
    <r>
      <rPr>
        <sz val="9"/>
        <color rgb="FF1F2A30"/>
        <rFont val="Arial"/>
        <family val="0"/>
        <charset val="1"/>
      </rPr>
      <t xml:space="preserve">?</t>
    </r>
  </si>
  <si>
    <t xml:space="preserve">Have you adopted a lightweight packaging design?</t>
  </si>
  <si>
    <r>
      <rPr>
        <sz val="9"/>
        <color rgb="FF1F2A30"/>
        <rFont val="Arial"/>
        <family val="0"/>
        <charset val="1"/>
      </rPr>
      <t xml:space="preserve">If “Yes”, please describe the weight of packaging per unit of product in column L.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栏描述单位产品所使用的包装重量。</t>
    </r>
  </si>
  <si>
    <r>
      <rPr>
        <sz val="9"/>
        <color rgb="FF1F2A30"/>
        <rFont val="Arial"/>
        <family val="0"/>
        <charset val="1"/>
      </rPr>
      <t xml:space="preserve">#15 </t>
    </r>
    <r>
      <rPr>
        <sz val="9"/>
        <color rgb="FF1F2A30"/>
        <rFont val="Noto Sans CJK SC"/>
        <family val="2"/>
      </rPr>
      <t xml:space="preserve">包装 </t>
    </r>
    <r>
      <rPr>
        <sz val="9"/>
        <color rgb="FF1F2A30"/>
        <rFont val="Arial"/>
        <family val="0"/>
        <charset val="1"/>
      </rPr>
      <t xml:space="preserve">/ </t>
    </r>
    <r>
      <rPr>
        <sz val="9"/>
        <color rgb="FF1F2A30"/>
        <rFont val="Noto Sans CJK SC"/>
        <family val="2"/>
      </rPr>
      <t xml:space="preserve">回收体系</t>
    </r>
  </si>
  <si>
    <r>
      <rPr>
        <sz val="9"/>
        <color rgb="FF1F2A30"/>
        <rFont val="Noto Sans CJK SC"/>
        <family val="2"/>
      </rPr>
      <t xml:space="preserve">产品物流是否使用循环周转箱</t>
    </r>
    <r>
      <rPr>
        <sz val="9"/>
        <color rgb="FF1F2A30"/>
        <rFont val="Arial"/>
        <family val="0"/>
        <charset val="1"/>
      </rPr>
      <t xml:space="preserve">?</t>
    </r>
  </si>
  <si>
    <t xml:space="preserve">Do you use circulation containers for product logistics?</t>
  </si>
  <si>
    <r>
      <rPr>
        <sz val="9"/>
        <color rgb="FF1F2A30"/>
        <rFont val="Arial"/>
        <family val="0"/>
        <charset val="1"/>
      </rPr>
      <t xml:space="preserve">Circulation containers - containers that can be reused. / </t>
    </r>
    <r>
      <rPr>
        <sz val="9"/>
        <color rgb="FF1F2A30"/>
        <rFont val="Noto Sans CJK SC"/>
        <family val="2"/>
      </rPr>
      <t xml:space="preserve">循环周转箱：可以多次使用的周转箱。</t>
    </r>
  </si>
  <si>
    <t xml:space="preserve">是否为下游使用工厂提供拆解信息（如零部件材料、重量、紧固方式、拆解方法及回收利用途径等信息）的技术文档？</t>
  </si>
  <si>
    <t xml:space="preserve">Do you provide technical documents of dismantling information (such as parts materials, weights, fastening methods, dismantling methods, and recycling methods) for downstream factories?</t>
  </si>
  <si>
    <r>
      <rPr>
        <sz val="9"/>
        <color rgb="FF1F2A30"/>
        <rFont val="Arial"/>
        <family val="0"/>
        <charset val="1"/>
      </rPr>
      <t xml:space="preserve">If “Yes”, please describe the main content of the technical documents in column L.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栏描述技术文档的主要内容。</t>
    </r>
  </si>
  <si>
    <t xml:space="preserve">是否对包装材料进行回收利用？</t>
  </si>
  <si>
    <t xml:space="preserve">Do you recover and recycle the packaging materials?</t>
  </si>
  <si>
    <r>
      <rPr>
        <sz val="9"/>
        <color rgb="FF1F2A30"/>
        <rFont val="Noto Sans CJK SC"/>
        <family val="2"/>
      </rPr>
      <t xml:space="preserve">零毁林 </t>
    </r>
    <r>
      <rPr>
        <sz val="9"/>
        <color rgb="FF1F2A30"/>
        <rFont val="Arial"/>
        <family val="0"/>
        <charset val="1"/>
      </rPr>
      <t xml:space="preserve">Deforestation</t>
    </r>
  </si>
  <si>
    <r>
      <rPr>
        <sz val="9"/>
        <color rgb="FF1F2A30"/>
        <rFont val="Noto Sans CJK SC"/>
        <family val="2"/>
      </rPr>
      <t xml:space="preserve">是否按属地法规（如欧盟 </t>
    </r>
    <r>
      <rPr>
        <sz val="9"/>
        <color rgb="FF1F2A30"/>
        <rFont val="Arial"/>
        <family val="0"/>
        <charset val="1"/>
      </rPr>
      <t xml:space="preserve">EUDR</t>
    </r>
    <r>
      <rPr>
        <sz val="9"/>
        <color rgb="FF1F2A30"/>
        <rFont val="Noto Sans CJK SC"/>
        <family val="2"/>
      </rPr>
      <t xml:space="preserve">）确保供货 </t>
    </r>
    <r>
      <rPr>
        <sz val="9"/>
        <color rgb="FF1F2A30"/>
        <rFont val="Arial"/>
        <family val="0"/>
        <charset val="1"/>
      </rPr>
      <t xml:space="preserve">Autoliv </t>
    </r>
    <r>
      <rPr>
        <sz val="9"/>
        <color rgb="FF1F2A30"/>
        <rFont val="Noto Sans CJK SC"/>
        <family val="2"/>
      </rPr>
      <t xml:space="preserve">的产品零毁林？</t>
    </r>
  </si>
  <si>
    <t xml:space="preserve">Do you ensure zero-deforestation for products supplied to Autoliv per applicable law (e.g. EU EUDR)?</t>
  </si>
  <si>
    <r>
      <rPr>
        <sz val="9"/>
        <color rgb="FF1F2A30"/>
        <rFont val="Noto Sans CJK SC"/>
        <family val="2"/>
      </rPr>
      <t xml:space="preserve">新要求 </t>
    </r>
    <r>
      <rPr>
        <sz val="9"/>
        <color rgb="FF1F2A30"/>
        <rFont val="Arial"/>
        <family val="0"/>
        <charset val="1"/>
      </rPr>
      <t xml:space="preserve">New Requirement</t>
    </r>
    <r>
      <rPr>
        <sz val="9"/>
        <color rgb="FF1F2A30"/>
        <rFont val="Noto Sans CJK SC"/>
        <family val="2"/>
      </rPr>
      <t xml:space="preserve">（</t>
    </r>
    <r>
      <rPr>
        <sz val="9"/>
        <color rgb="FF1F2A30"/>
        <rFont val="Arial"/>
        <family val="0"/>
        <charset val="1"/>
      </rPr>
      <t xml:space="preserve">2025</t>
    </r>
    <r>
      <rPr>
        <sz val="9"/>
        <color rgb="FF1F2A30"/>
        <rFont val="Noto Sans CJK SC"/>
        <family val="2"/>
      </rPr>
      <t xml:space="preserve">）。平台提供 </t>
    </r>
    <r>
      <rPr>
        <sz val="9"/>
        <color rgb="FF1F2A30"/>
        <rFont val="Arial"/>
        <family val="0"/>
        <charset val="1"/>
      </rPr>
      <t xml:space="preserve">EUDR </t>
    </r>
    <r>
      <rPr>
        <sz val="9"/>
        <color rgb="FF1F2A30"/>
        <rFont val="Noto Sans CJK SC"/>
        <family val="2"/>
      </rPr>
      <t xml:space="preserve">尽调服务。 </t>
    </r>
    <r>
      <rPr>
        <sz val="9"/>
        <color rgb="FF1F2A30"/>
        <rFont val="Arial"/>
        <family val="0"/>
        <charset val="1"/>
      </rPr>
      <t xml:space="preserve">/ New Requirement (2025). Platform offers EUDR due-diligence.</t>
    </r>
  </si>
  <si>
    <r>
      <rPr>
        <sz val="9"/>
        <color rgb="FF1F2A30"/>
        <rFont val="Arial"/>
        <family val="0"/>
        <charset val="1"/>
      </rPr>
      <t xml:space="preserve">#21 </t>
    </r>
    <r>
      <rPr>
        <sz val="9"/>
        <color rgb="FF1F2A30"/>
        <rFont val="Noto Sans CJK SC"/>
        <family val="2"/>
      </rPr>
      <t xml:space="preserve">零毁林（新要求）</t>
    </r>
  </si>
  <si>
    <r>
      <rPr>
        <sz val="9"/>
        <color rgb="FF1F2A30"/>
        <rFont val="Arial"/>
        <family val="0"/>
        <charset val="1"/>
      </rPr>
      <t xml:space="preserve">Autoliv </t>
    </r>
    <r>
      <rPr>
        <sz val="9"/>
        <color rgb="FF1F2A30"/>
        <rFont val="Noto Sans CJK SC"/>
        <family val="2"/>
      </rPr>
      <t xml:space="preserve">采购要求 </t>
    </r>
    <r>
      <rPr>
        <sz val="9"/>
        <color rgb="FF1F2A30"/>
        <rFont val="Arial"/>
        <family val="0"/>
        <charset val="1"/>
      </rPr>
      <t xml:space="preserve">#21 · </t>
    </r>
    <r>
      <rPr>
        <sz val="9"/>
        <color rgb="FF1F2A30"/>
        <rFont val="Noto Sans CJK SC"/>
        <family val="2"/>
      </rPr>
      <t xml:space="preserve">奇瑞</t>
    </r>
    <r>
      <rPr>
        <sz val="9"/>
        <color rgb="FF1F2A30"/>
        <rFont val="Arial"/>
        <family val="0"/>
        <charset val="1"/>
      </rPr>
      <t xml:space="preserve">(</t>
    </r>
    <r>
      <rPr>
        <sz val="9"/>
        <color rgb="FF1F2A30"/>
        <rFont val="Noto Sans CJK SC"/>
        <family val="2"/>
      </rPr>
      <t xml:space="preserve">新增零毁林</t>
    </r>
    <r>
      <rPr>
        <sz val="9"/>
        <color rgb="FF1F2A30"/>
        <rFont val="Arial"/>
        <family val="0"/>
        <charset val="1"/>
      </rPr>
      <t xml:space="preserve">/</t>
    </r>
    <r>
      <rPr>
        <sz val="9"/>
        <color rgb="FF1F2A30"/>
        <rFont val="Noto Sans CJK SC"/>
        <family val="2"/>
      </rPr>
      <t xml:space="preserve">生物多样性条款</t>
    </r>
    <r>
      <rPr>
        <sz val="9"/>
        <color rgb="FF1F2A30"/>
        <rFont val="Arial"/>
        <family val="0"/>
        <charset val="1"/>
      </rPr>
      <t xml:space="preserve">)</t>
    </r>
  </si>
  <si>
    <r>
      <rPr>
        <sz val="9"/>
        <color rgb="FF1F2A30"/>
        <rFont val="Arial"/>
        <family val="0"/>
        <charset val="1"/>
      </rPr>
      <t xml:space="preserve">P4 </t>
    </r>
    <r>
      <rPr>
        <sz val="9"/>
        <color rgb="FF1F2A30"/>
        <rFont val="Noto Sans CJK SC"/>
        <family val="2"/>
      </rPr>
      <t xml:space="preserve">负责任商业与透明度</t>
    </r>
  </si>
  <si>
    <t xml:space="preserve">可持续报告</t>
  </si>
  <si>
    <t xml:space="preserve">公司是否有公开披露其工厂及供应链社会和环境责任方面的内容？</t>
  </si>
  <si>
    <t xml:space="preserve">Does the corporate publicly disclose information about how they work with social and environmental responsibility in it's factories and supply chain?</t>
  </si>
  <si>
    <r>
      <rPr>
        <sz val="9"/>
        <color rgb="FF1F2A30"/>
        <rFont val="Arial"/>
        <family val="0"/>
        <charset val="1"/>
      </rPr>
      <t xml:space="preserve">If "Yes", please provide the links in column L.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栏描述相关链接。</t>
    </r>
  </si>
  <si>
    <r>
      <rPr>
        <sz val="9"/>
        <color rgb="FF1F2A30"/>
        <rFont val="Arial"/>
        <family val="0"/>
        <charset val="1"/>
      </rPr>
      <t xml:space="preserve">#33 </t>
    </r>
    <r>
      <rPr>
        <sz val="9"/>
        <color rgb="FF1F2A30"/>
        <rFont val="Noto Sans CJK SC"/>
        <family val="2"/>
      </rPr>
      <t xml:space="preserve">框架 </t>
    </r>
    <r>
      <rPr>
        <sz val="9"/>
        <color rgb="FF1F2A30"/>
        <rFont val="Arial"/>
        <family val="0"/>
        <charset val="1"/>
      </rPr>
      <t xml:space="preserve">/ </t>
    </r>
    <r>
      <rPr>
        <sz val="9"/>
        <color rgb="FF1F2A30"/>
        <rFont val="Noto Sans CJK SC"/>
        <family val="2"/>
      </rPr>
      <t xml:space="preserve">公开披露</t>
    </r>
  </si>
  <si>
    <t xml:space="preserve">冲突矿产</t>
  </si>
  <si>
    <t xml:space="preserve">针对冲突矿产，制定了负责任采购这些原材料的政策？</t>
  </si>
  <si>
    <t xml:space="preserve">Do you have a policy for responsible sourcing of raw materials, including conflict minerals?</t>
  </si>
  <si>
    <r>
      <rPr>
        <sz val="9"/>
        <color rgb="FF1F2A30"/>
        <rFont val="Arial"/>
        <family val="0"/>
        <charset val="1"/>
      </rPr>
      <t xml:space="preserve">If "Yes", please describe in column L: (1) the main content of the policy; (2) how do you ensure the effective implementation of the policy / Conflict minerals include: Tungsten (W), Tin (Sn), Tantalum (Ta), Gold (Au), Cobalt (cobalt)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t>
    </r>
    <r>
      <rPr>
        <sz val="9"/>
        <color rgb="FF1F2A30"/>
        <rFont val="Arial"/>
        <family val="0"/>
        <charset val="1"/>
      </rPr>
      <t xml:space="preserve">(1)</t>
    </r>
    <r>
      <rPr>
        <sz val="9"/>
        <color rgb="FF1F2A30"/>
        <rFont val="Noto Sans CJK SC"/>
        <family val="2"/>
      </rPr>
      <t xml:space="preserve">该政策的主要内容；</t>
    </r>
    <r>
      <rPr>
        <sz val="9"/>
        <color rgb="FF1F2A30"/>
        <rFont val="Arial"/>
        <family val="0"/>
        <charset val="1"/>
      </rPr>
      <t xml:space="preserve">(2)</t>
    </r>
    <r>
      <rPr>
        <sz val="9"/>
        <color rgb="FF1F2A30"/>
        <rFont val="Noto Sans CJK SC"/>
        <family val="2"/>
      </rPr>
      <t xml:space="preserve">如何保证该政策可以有效执行 </t>
    </r>
    <r>
      <rPr>
        <sz val="9"/>
        <color rgb="FF1F2A30"/>
        <rFont val="Arial"/>
        <family val="0"/>
        <charset val="1"/>
      </rPr>
      <t xml:space="preserve">/ </t>
    </r>
    <r>
      <rPr>
        <sz val="9"/>
        <color rgb="FF1F2A30"/>
        <rFont val="Noto Sans CJK SC"/>
        <family val="2"/>
      </rPr>
      <t xml:space="preserve">冲突矿产包括：钨（</t>
    </r>
    <r>
      <rPr>
        <sz val="9"/>
        <color rgb="FF1F2A30"/>
        <rFont val="Arial"/>
        <family val="0"/>
        <charset val="1"/>
      </rPr>
      <t xml:space="preserve">W</t>
    </r>
    <r>
      <rPr>
        <sz val="9"/>
        <color rgb="FF1F2A30"/>
        <rFont val="Noto Sans CJK SC"/>
        <family val="2"/>
      </rPr>
      <t xml:space="preserve">）锡（</t>
    </r>
    <r>
      <rPr>
        <sz val="9"/>
        <color rgb="FF1F2A30"/>
        <rFont val="Arial"/>
        <family val="0"/>
        <charset val="1"/>
      </rPr>
      <t xml:space="preserve">Sn</t>
    </r>
    <r>
      <rPr>
        <sz val="9"/>
        <color rgb="FF1F2A30"/>
        <rFont val="Noto Sans CJK SC"/>
        <family val="2"/>
      </rPr>
      <t xml:space="preserve">）钽（</t>
    </r>
    <r>
      <rPr>
        <sz val="9"/>
        <color rgb="FF1F2A30"/>
        <rFont val="Arial"/>
        <family val="0"/>
        <charset val="1"/>
      </rPr>
      <t xml:space="preserve">Ta</t>
    </r>
    <r>
      <rPr>
        <sz val="9"/>
        <color rgb="FF1F2A30"/>
        <rFont val="Noto Sans CJK SC"/>
        <family val="2"/>
      </rPr>
      <t xml:space="preserve">）金（</t>
    </r>
    <r>
      <rPr>
        <sz val="9"/>
        <color rgb="FF1F2A30"/>
        <rFont val="Arial"/>
        <family val="0"/>
        <charset val="1"/>
      </rPr>
      <t xml:space="preserve">Au</t>
    </r>
    <r>
      <rPr>
        <sz val="9"/>
        <color rgb="FF1F2A30"/>
        <rFont val="Noto Sans CJK SC"/>
        <family val="2"/>
      </rPr>
      <t xml:space="preserve">）钴（</t>
    </r>
    <r>
      <rPr>
        <sz val="9"/>
        <color rgb="FF1F2A30"/>
        <rFont val="Arial"/>
        <family val="0"/>
        <charset val="1"/>
      </rPr>
      <t xml:space="preserve">cobalt</t>
    </r>
    <r>
      <rPr>
        <sz val="9"/>
        <color rgb="FF1F2A30"/>
        <rFont val="Noto Sans CJK SC"/>
        <family val="2"/>
      </rPr>
      <t xml:space="preserve">）</t>
    </r>
  </si>
  <si>
    <r>
      <rPr>
        <sz val="9"/>
        <color rgb="FF1F2A30"/>
        <rFont val="Arial"/>
        <family val="0"/>
        <charset val="1"/>
      </rPr>
      <t xml:space="preserve">#22–#25 </t>
    </r>
    <r>
      <rPr>
        <sz val="9"/>
        <color rgb="FF1F2A30"/>
        <rFont val="Noto Sans CJK SC"/>
        <family val="2"/>
      </rPr>
      <t xml:space="preserve">冲突矿产 </t>
    </r>
    <r>
      <rPr>
        <sz val="9"/>
        <color rgb="FF1F2A30"/>
        <rFont val="Arial"/>
        <family val="0"/>
        <charset val="1"/>
      </rPr>
      <t xml:space="preserve">CMRT/EMRT</t>
    </r>
  </si>
  <si>
    <r>
      <rPr>
        <sz val="9"/>
        <color rgb="FF1F2A30"/>
        <rFont val="Arial"/>
        <family val="0"/>
        <charset val="1"/>
      </rPr>
      <t xml:space="preserve">Polestar SSI</t>
    </r>
    <r>
      <rPr>
        <sz val="9"/>
        <color rgb="FF1F2A30"/>
        <rFont val="Noto Sans CJK SC"/>
        <family val="2"/>
      </rPr>
      <t xml:space="preserve">（基准）</t>
    </r>
    <r>
      <rPr>
        <sz val="9"/>
        <color rgb="FF1F2A30"/>
        <rFont val="Arial"/>
        <family val="0"/>
        <charset val="1"/>
      </rPr>
      <t xml:space="preserve">· </t>
    </r>
    <r>
      <rPr>
        <sz val="9"/>
        <color rgb="FF1F2A30"/>
        <rFont val="Noto Sans CJK SC"/>
        <family val="2"/>
      </rPr>
      <t xml:space="preserve">奇瑞</t>
    </r>
    <r>
      <rPr>
        <sz val="9"/>
        <color rgb="FF1F2A30"/>
        <rFont val="Arial"/>
        <family val="0"/>
        <charset val="1"/>
      </rPr>
      <t xml:space="preserve">(3TG+</t>
    </r>
    <r>
      <rPr>
        <sz val="9"/>
        <color rgb="FF1F2A30"/>
        <rFont val="Noto Sans CJK SC"/>
        <family val="2"/>
      </rPr>
      <t xml:space="preserve">钴云母锂镍石墨</t>
    </r>
    <r>
      <rPr>
        <sz val="9"/>
        <color rgb="FF1F2A30"/>
        <rFont val="Arial"/>
        <family val="0"/>
        <charset val="1"/>
      </rPr>
      <t xml:space="preserve">)· </t>
    </r>
    <r>
      <rPr>
        <sz val="9"/>
        <color rgb="FF1F2A30"/>
        <rFont val="Noto Sans CJK SC"/>
        <family val="2"/>
      </rPr>
      <t xml:space="preserve">小米</t>
    </r>
    <r>
      <rPr>
        <sz val="9"/>
        <color rgb="FF1F2A30"/>
        <rFont val="Arial"/>
        <family val="0"/>
        <charset val="1"/>
      </rPr>
      <t xml:space="preserve">(</t>
    </r>
    <r>
      <rPr>
        <sz val="9"/>
        <color rgb="FF1F2A30"/>
        <rFont val="Noto Sans CJK SC"/>
        <family val="2"/>
      </rPr>
      <t xml:space="preserve">反馈率</t>
    </r>
    <r>
      <rPr>
        <sz val="9"/>
        <color rgb="FF1F2A30"/>
        <rFont val="Arial"/>
        <family val="0"/>
        <charset val="1"/>
      </rPr>
      <t xml:space="preserve">100%)· </t>
    </r>
    <r>
      <rPr>
        <sz val="9"/>
        <color rgb="FF1F2A30"/>
        <rFont val="Noto Sans CJK SC"/>
        <family val="2"/>
      </rPr>
      <t xml:space="preserve">吉利</t>
    </r>
    <r>
      <rPr>
        <sz val="9"/>
        <color rgb="FF1F2A30"/>
        <rFont val="Arial"/>
        <family val="0"/>
        <charset val="1"/>
      </rPr>
      <t xml:space="preserve">(GeeTrace)· </t>
    </r>
    <r>
      <rPr>
        <sz val="9"/>
        <color rgb="FF1F2A30"/>
        <rFont val="Noto Sans CJK SC"/>
        <family val="2"/>
      </rPr>
      <t xml:space="preserve">小鹏</t>
    </r>
    <r>
      <rPr>
        <sz val="9"/>
        <color rgb="FF1F2A30"/>
        <rFont val="Arial"/>
        <family val="0"/>
        <charset val="1"/>
      </rPr>
      <t xml:space="preserve">(CAHRA)</t>
    </r>
  </si>
  <si>
    <t xml:space="preserve">是否有承诺所有金属不是来自非道德采购渠道？</t>
  </si>
  <si>
    <t xml:space="preserve">Do you have a commitment to not source minerals or metals from unethical sources?</t>
  </si>
  <si>
    <t xml:space="preserve">针对冲突矿产，对供应链风险进行识别和评估？</t>
  </si>
  <si>
    <t xml:space="preserve">Relating to conflict minerals, do you identify and evaluate the risks in your supply chain?</t>
  </si>
  <si>
    <r>
      <rPr>
        <sz val="9"/>
        <color rgb="FF1F2A30"/>
        <rFont val="Arial"/>
        <family val="0"/>
        <charset val="1"/>
      </rPr>
      <t xml:space="preserve">If "Yes", and if external evaluation has been conducted, please describe in column L: (1) the organization that provided the evaluation or certification system; (2) evaluation time; (3)main conclusions. If it is a self-evaluation, please describe in column L: (1) evaluation method; (2) main conclusions / </t>
    </r>
    <r>
      <rPr>
        <sz val="9"/>
        <color rgb="FF1F2A30"/>
        <rFont val="Noto Sans CJK SC"/>
        <family val="2"/>
      </rPr>
      <t xml:space="preserve">如果‘是’，如果是外部评估，请在</t>
    </r>
    <r>
      <rPr>
        <sz val="9"/>
        <color rgb="FF1F2A30"/>
        <rFont val="Arial"/>
        <family val="0"/>
        <charset val="1"/>
      </rPr>
      <t xml:space="preserve">L</t>
    </r>
    <r>
      <rPr>
        <sz val="9"/>
        <color rgb="FF1F2A30"/>
        <rFont val="Noto Sans CJK SC"/>
        <family val="2"/>
      </rPr>
      <t xml:space="preserve">栏描述：</t>
    </r>
    <r>
      <rPr>
        <sz val="9"/>
        <color rgb="FF1F2A30"/>
        <rFont val="Arial"/>
        <family val="0"/>
        <charset val="1"/>
      </rPr>
      <t xml:space="preserve">(1)</t>
    </r>
    <r>
      <rPr>
        <sz val="9"/>
        <color rgb="FF1F2A30"/>
        <rFont val="Noto Sans CJK SC"/>
        <family val="2"/>
      </rPr>
      <t xml:space="preserve">评估机构名称或者认证体系名称；</t>
    </r>
    <r>
      <rPr>
        <sz val="9"/>
        <color rgb="FF1F2A30"/>
        <rFont val="Arial"/>
        <family val="0"/>
        <charset val="1"/>
      </rPr>
      <t xml:space="preserve">(2)</t>
    </r>
    <r>
      <rPr>
        <sz val="9"/>
        <color rgb="FF1F2A30"/>
        <rFont val="Noto Sans CJK SC"/>
        <family val="2"/>
      </rPr>
      <t xml:space="preserve">评估时间；</t>
    </r>
    <r>
      <rPr>
        <sz val="9"/>
        <color rgb="FF1F2A30"/>
        <rFont val="Arial"/>
        <family val="0"/>
        <charset val="1"/>
      </rPr>
      <t xml:space="preserve">(3)</t>
    </r>
    <r>
      <rPr>
        <sz val="9"/>
        <color rgb="FF1F2A30"/>
        <rFont val="Noto Sans CJK SC"/>
        <family val="2"/>
      </rPr>
      <t xml:space="preserve">主要评估结论。如果是自我评估，请在</t>
    </r>
    <r>
      <rPr>
        <sz val="9"/>
        <color rgb="FF1F2A30"/>
        <rFont val="Arial"/>
        <family val="0"/>
        <charset val="1"/>
      </rPr>
      <t xml:space="preserve">L</t>
    </r>
    <r>
      <rPr>
        <sz val="9"/>
        <color rgb="FF1F2A30"/>
        <rFont val="Noto Sans CJK SC"/>
        <family val="2"/>
      </rPr>
      <t xml:space="preserve">栏描述：</t>
    </r>
    <r>
      <rPr>
        <sz val="9"/>
        <color rgb="FF1F2A30"/>
        <rFont val="Arial"/>
        <family val="0"/>
        <charset val="1"/>
      </rPr>
      <t xml:space="preserve">(1)</t>
    </r>
    <r>
      <rPr>
        <sz val="9"/>
        <color rgb="FF1F2A30"/>
        <rFont val="Noto Sans CJK SC"/>
        <family val="2"/>
      </rPr>
      <t xml:space="preserve">评估的方法；</t>
    </r>
    <r>
      <rPr>
        <sz val="9"/>
        <color rgb="FF1F2A30"/>
        <rFont val="Arial"/>
        <family val="0"/>
        <charset val="1"/>
      </rPr>
      <t xml:space="preserve">(2)</t>
    </r>
    <r>
      <rPr>
        <sz val="9"/>
        <color rgb="FF1F2A30"/>
        <rFont val="Noto Sans CJK SC"/>
        <family val="2"/>
      </rPr>
      <t xml:space="preserve">主要评估结论。</t>
    </r>
  </si>
  <si>
    <t xml:space="preserve">针对冲突矿产，通过高科技手段识别金属材料的来源？</t>
  </si>
  <si>
    <t xml:space="preserve">Relating to conflict minerals, do you use a chain of custody method to trace and identify the source?</t>
  </si>
  <si>
    <r>
      <rPr>
        <sz val="9"/>
        <color rgb="FF1F2A30"/>
        <rFont val="Arial"/>
        <family val="0"/>
        <charset val="1"/>
      </rPr>
      <t xml:space="preserve">If Yes, Please describe in column L: (1) which method is used (e.g. blockchain); (2) certificate or type of blockchain used. / </t>
    </r>
    <r>
      <rPr>
        <sz val="9"/>
        <color rgb="FF1F2A30"/>
        <rFont val="Noto Sans CJK SC"/>
        <family val="2"/>
      </rPr>
      <t xml:space="preserve">如果</t>
    </r>
    <r>
      <rPr>
        <sz val="9"/>
        <color rgb="FF1F2A30"/>
        <rFont val="Arial"/>
        <family val="0"/>
        <charset val="1"/>
      </rPr>
      <t xml:space="preserve">'</t>
    </r>
    <r>
      <rPr>
        <sz val="9"/>
        <color rgb="FF1F2A30"/>
        <rFont val="Noto Sans CJK SC"/>
        <family val="2"/>
      </rPr>
      <t xml:space="preserve">是</t>
    </r>
    <r>
      <rPr>
        <sz val="9"/>
        <color rgb="FF1F2A30"/>
        <rFont val="Arial"/>
        <family val="0"/>
        <charset val="1"/>
      </rPr>
      <t xml:space="preserve">'</t>
    </r>
    <r>
      <rPr>
        <sz val="9"/>
        <color rgb="FF1F2A30"/>
        <rFont val="Noto Sans CJK SC"/>
        <family val="2"/>
      </rPr>
      <t xml:space="preserve">，请在</t>
    </r>
    <r>
      <rPr>
        <sz val="9"/>
        <color rgb="FF1F2A30"/>
        <rFont val="Arial"/>
        <family val="0"/>
        <charset val="1"/>
      </rPr>
      <t xml:space="preserve">L</t>
    </r>
    <r>
      <rPr>
        <sz val="9"/>
        <color rgb="FF1F2A30"/>
        <rFont val="Noto Sans CJK SC"/>
        <family val="2"/>
      </rPr>
      <t xml:space="preserve">栏描述：</t>
    </r>
    <r>
      <rPr>
        <sz val="9"/>
        <color rgb="FF1F2A30"/>
        <rFont val="Arial"/>
        <family val="0"/>
        <charset val="1"/>
      </rPr>
      <t xml:space="preserve">(1)</t>
    </r>
    <r>
      <rPr>
        <sz val="9"/>
        <color rgb="FF1F2A30"/>
        <rFont val="Noto Sans CJK SC"/>
        <family val="2"/>
      </rPr>
      <t xml:space="preserve">使用哪种高科技手段</t>
    </r>
    <r>
      <rPr>
        <sz val="9"/>
        <color rgb="FF1F2A30"/>
        <rFont val="Arial"/>
        <family val="0"/>
        <charset val="1"/>
      </rPr>
      <t xml:space="preserve">(</t>
    </r>
    <r>
      <rPr>
        <sz val="9"/>
        <color rgb="FF1F2A30"/>
        <rFont val="Noto Sans CJK SC"/>
        <family val="2"/>
      </rPr>
      <t xml:space="preserve">如：区块链</t>
    </r>
    <r>
      <rPr>
        <sz val="9"/>
        <color rgb="FF1F2A30"/>
        <rFont val="Arial"/>
        <family val="0"/>
        <charset val="1"/>
      </rPr>
      <t xml:space="preserve">); (2) </t>
    </r>
    <r>
      <rPr>
        <sz val="9"/>
        <color rgb="FF1F2A30"/>
        <rFont val="Noto Sans CJK SC"/>
        <family val="2"/>
      </rPr>
      <t xml:space="preserve">证书或使用区块链的类型</t>
    </r>
  </si>
  <si>
    <t xml:space="preserve">针对冲突矿产，是否制定了供应商风险管理策略？</t>
  </si>
  <si>
    <t xml:space="preserve">Relating to conflict minerals, have you developed any supplier risk management strategies?</t>
  </si>
  <si>
    <r>
      <rPr>
        <sz val="9"/>
        <color rgb="FF1F2A30"/>
        <rFont val="Arial"/>
        <family val="0"/>
        <charset val="1"/>
      </rPr>
      <t xml:space="preserve">e.g. require upstream smelters and refineries to obtain effective conflict-free third-party certification / </t>
    </r>
    <r>
      <rPr>
        <sz val="9"/>
        <color rgb="FF1F2A30"/>
        <rFont val="Noto Sans CJK SC"/>
        <family val="2"/>
      </rPr>
      <t xml:space="preserve">例如要求上游冶炼厂和精炼厂等获得有效的无冲突第三方认证</t>
    </r>
  </si>
  <si>
    <r>
      <rPr>
        <sz val="9"/>
        <color rgb="FF1F2A30"/>
        <rFont val="Noto Sans CJK SC"/>
        <family val="2"/>
      </rPr>
      <t xml:space="preserve">上游供应商是否是</t>
    </r>
    <r>
      <rPr>
        <sz val="9"/>
        <color rgb="FF1F2A30"/>
        <rFont val="Arial"/>
        <family val="0"/>
        <charset val="1"/>
      </rPr>
      <t xml:space="preserve">RCI/RMI/LEM/ASI</t>
    </r>
    <r>
      <rPr>
        <sz val="9"/>
        <color rgb="FF1F2A30"/>
        <rFont val="Noto Sans CJK SC"/>
        <family val="2"/>
      </rPr>
      <t xml:space="preserve">等成员</t>
    </r>
    <r>
      <rPr>
        <sz val="9"/>
        <color rgb="FF1F2A30"/>
        <rFont val="Arial"/>
        <family val="0"/>
        <charset val="1"/>
      </rPr>
      <t xml:space="preserve">?</t>
    </r>
  </si>
  <si>
    <t xml:space="preserve">Are upstream suppliers a member of RCI/RMI/LEM/ASI?</t>
  </si>
  <si>
    <r>
      <rPr>
        <sz val="9"/>
        <color rgb="FF1F2A30"/>
        <rFont val="Noto Sans CJK SC"/>
        <family val="2"/>
      </rPr>
      <t xml:space="preserve">是否填写了</t>
    </r>
    <r>
      <rPr>
        <sz val="9"/>
        <color rgb="FF1F2A30"/>
        <rFont val="Arial"/>
        <family val="0"/>
        <charset val="1"/>
      </rPr>
      <t xml:space="preserve">CMRT</t>
    </r>
    <r>
      <rPr>
        <sz val="9"/>
        <color rgb="FF1F2A30"/>
        <rFont val="Noto Sans CJK SC"/>
        <family val="2"/>
      </rPr>
      <t xml:space="preserve">（冲突矿产报告模板） 或者 </t>
    </r>
    <r>
      <rPr>
        <sz val="9"/>
        <color rgb="FF1F2A30"/>
        <rFont val="Arial"/>
        <family val="0"/>
        <charset val="1"/>
      </rPr>
      <t xml:space="preserve">CRT(</t>
    </r>
    <r>
      <rPr>
        <sz val="9"/>
        <color rgb="FF1F2A30"/>
        <rFont val="Noto Sans CJK SC"/>
        <family val="2"/>
      </rPr>
      <t xml:space="preserve">钴报告模板）？</t>
    </r>
  </si>
  <si>
    <t xml:space="preserve">Have you filled out the CMRT (conflict mineral report template) or CRT (cobalt report template)?</t>
  </si>
  <si>
    <r>
      <rPr>
        <sz val="9"/>
        <color rgb="FF1F2A30"/>
        <rFont val="Arial"/>
        <family val="0"/>
        <charset val="1"/>
      </rPr>
      <t xml:space="preserve">If "Yes", and if external evaluation has been conducted, please describe in column L: (1) title of the report; (2) date of report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t>
    </r>
    <r>
      <rPr>
        <sz val="9"/>
        <color rgb="FF1F2A30"/>
        <rFont val="Arial"/>
        <family val="0"/>
        <charset val="1"/>
      </rPr>
      <t xml:space="preserve">(1)</t>
    </r>
    <r>
      <rPr>
        <sz val="9"/>
        <color rgb="FF1F2A30"/>
        <rFont val="Noto Sans CJK SC"/>
        <family val="2"/>
      </rPr>
      <t xml:space="preserve">报告的名称；</t>
    </r>
    <r>
      <rPr>
        <sz val="9"/>
        <color rgb="FF1F2A30"/>
        <rFont val="Arial"/>
        <family val="0"/>
        <charset val="1"/>
      </rPr>
      <t xml:space="preserve">(2)</t>
    </r>
    <r>
      <rPr>
        <sz val="9"/>
        <color rgb="FF1F2A30"/>
        <rFont val="Noto Sans CJK SC"/>
        <family val="2"/>
      </rPr>
      <t xml:space="preserve">报告的填写时间</t>
    </r>
  </si>
  <si>
    <r>
      <rPr>
        <sz val="9"/>
        <color rgb="FF1F2A30"/>
        <rFont val="Noto Sans CJK SC"/>
        <family val="2"/>
      </rPr>
      <t xml:space="preserve">冲突矿产 </t>
    </r>
    <r>
      <rPr>
        <sz val="9"/>
        <color rgb="FF1F2A30"/>
        <rFont val="Arial"/>
        <family val="0"/>
        <charset val="1"/>
      </rPr>
      <t xml:space="preserve">Conflict Minerals</t>
    </r>
  </si>
  <si>
    <r>
      <rPr>
        <sz val="9"/>
        <color rgb="FF1F2A30"/>
        <rFont val="Noto Sans CJK SC"/>
        <family val="2"/>
      </rPr>
      <t xml:space="preserve">是否按 </t>
    </r>
    <r>
      <rPr>
        <sz val="9"/>
        <color rgb="FF1F2A30"/>
        <rFont val="Arial"/>
        <family val="0"/>
        <charset val="1"/>
      </rPr>
      <t xml:space="preserve">Autoliv </t>
    </r>
    <r>
      <rPr>
        <sz val="9"/>
        <color rgb="FF1F2A30"/>
        <rFont val="Noto Sans CJK SC"/>
        <family val="2"/>
      </rPr>
      <t xml:space="preserve">要求提交公司级 </t>
    </r>
    <r>
      <rPr>
        <sz val="9"/>
        <color rgb="FF1F2A30"/>
        <rFont val="Arial"/>
        <family val="0"/>
        <charset val="1"/>
      </rPr>
      <t xml:space="preserve">CMRT</t>
    </r>
    <r>
      <rPr>
        <sz val="9"/>
        <color rgb="FF1F2A30"/>
        <rFont val="Noto Sans CJK SC"/>
        <family val="2"/>
      </rPr>
      <t xml:space="preserve">（</t>
    </r>
    <r>
      <rPr>
        <sz val="9"/>
        <color rgb="FF1F2A30"/>
        <rFont val="Arial"/>
        <family val="0"/>
        <charset val="1"/>
      </rPr>
      <t xml:space="preserve">3TG</t>
    </r>
    <r>
      <rPr>
        <sz val="9"/>
        <color rgb="FF1F2A30"/>
        <rFont val="Noto Sans CJK SC"/>
        <family val="2"/>
      </rPr>
      <t xml:space="preserve">）、</t>
    </r>
    <r>
      <rPr>
        <sz val="9"/>
        <color rgb="FF1F2A30"/>
        <rFont val="Arial"/>
        <family val="0"/>
        <charset val="1"/>
      </rPr>
      <t xml:space="preserve">EMRT</t>
    </r>
    <r>
      <rPr>
        <sz val="9"/>
        <color rgb="FF1F2A30"/>
        <rFont val="Noto Sans CJK SC"/>
        <family val="2"/>
      </rPr>
      <t xml:space="preserve">（钴</t>
    </r>
    <r>
      <rPr>
        <sz val="9"/>
        <color rgb="FF1F2A30"/>
        <rFont val="Arial"/>
        <family val="0"/>
        <charset val="1"/>
      </rPr>
      <t xml:space="preserve">/</t>
    </r>
    <r>
      <rPr>
        <sz val="9"/>
        <color rgb="FF1F2A30"/>
        <rFont val="Noto Sans CJK SC"/>
        <family val="2"/>
      </rPr>
      <t xml:space="preserve">云母；</t>
    </r>
    <r>
      <rPr>
        <sz val="9"/>
        <color rgb="FF1F2A30"/>
        <rFont val="Arial"/>
        <family val="0"/>
        <charset val="1"/>
      </rPr>
      <t xml:space="preserve">2025 </t>
    </r>
    <r>
      <rPr>
        <sz val="9"/>
        <color rgb="FF1F2A30"/>
        <rFont val="Noto Sans CJK SC"/>
        <family val="2"/>
      </rPr>
      <t xml:space="preserve">或扩至锂</t>
    </r>
    <r>
      <rPr>
        <sz val="9"/>
        <color rgb="FF1F2A30"/>
        <rFont val="Arial"/>
        <family val="0"/>
        <charset val="1"/>
      </rPr>
      <t xml:space="preserve">/</t>
    </r>
    <r>
      <rPr>
        <sz val="9"/>
        <color rgb="FF1F2A30"/>
        <rFont val="Noto Sans CJK SC"/>
        <family val="2"/>
      </rPr>
      <t xml:space="preserve">镍</t>
    </r>
    <r>
      <rPr>
        <sz val="9"/>
        <color rgb="FF1F2A30"/>
        <rFont val="Arial"/>
        <family val="0"/>
        <charset val="1"/>
      </rPr>
      <t xml:space="preserve">/</t>
    </r>
    <r>
      <rPr>
        <sz val="9"/>
        <color rgb="FF1F2A30"/>
        <rFont val="Noto Sans CJK SC"/>
        <family val="2"/>
      </rPr>
      <t xml:space="preserve">铜</t>
    </r>
    <r>
      <rPr>
        <sz val="9"/>
        <color rgb="FF1F2A30"/>
        <rFont val="Arial"/>
        <family val="0"/>
        <charset val="1"/>
      </rPr>
      <t xml:space="preserve">/</t>
    </r>
    <r>
      <rPr>
        <sz val="9"/>
        <color rgb="FF1F2A30"/>
        <rFont val="Noto Sans CJK SC"/>
        <family val="2"/>
      </rPr>
      <t xml:space="preserve">石墨）与关键原材料 </t>
    </r>
    <r>
      <rPr>
        <sz val="9"/>
        <color rgb="FF1F2A30"/>
        <rFont val="Arial"/>
        <family val="0"/>
        <charset val="1"/>
      </rPr>
      <t xml:space="preserve">AMRT </t>
    </r>
    <r>
      <rPr>
        <sz val="9"/>
        <color rgb="FF1F2A30"/>
        <rFont val="Noto Sans CJK SC"/>
        <family val="2"/>
      </rPr>
      <t xml:space="preserve">年报，并实现上游供应商 </t>
    </r>
    <r>
      <rPr>
        <sz val="9"/>
        <color rgb="FF1F2A30"/>
        <rFont val="Arial"/>
        <family val="0"/>
        <charset val="1"/>
      </rPr>
      <t xml:space="preserve">100% </t>
    </r>
    <r>
      <rPr>
        <sz val="9"/>
        <color rgb="FF1F2A30"/>
        <rFont val="Noto Sans CJK SC"/>
        <family val="2"/>
      </rPr>
      <t xml:space="preserve">回收率（无豁免）？</t>
    </r>
  </si>
  <si>
    <t xml:space="preserve">Do you submit company-level CMRT (3TG), EMRT (cobalt/mica; expanding to Li/Ni/Cu/graphite by 2025) and critical-raw-material AMRT annually, achieving 100% upstream response rate (no exemptions)?</t>
  </si>
  <si>
    <r>
      <rPr>
        <sz val="9"/>
        <color rgb="FF1F2A30"/>
        <rFont val="Arial"/>
        <family val="0"/>
        <charset val="1"/>
      </rPr>
      <t xml:space="preserve">Requirement</t>
    </r>
    <r>
      <rPr>
        <sz val="9"/>
        <color rgb="FF1F2A30"/>
        <rFont val="Noto Sans CJK SC"/>
        <family val="2"/>
      </rPr>
      <t xml:space="preserve">（</t>
    </r>
    <r>
      <rPr>
        <sz val="9"/>
        <color rgb="FF1F2A30"/>
        <rFont val="Arial"/>
        <family val="0"/>
        <charset val="1"/>
      </rPr>
      <t xml:space="preserve">#22/#24/#26</t>
    </r>
    <r>
      <rPr>
        <sz val="9"/>
        <color rgb="FF1F2A30"/>
        <rFont val="Noto Sans CJK SC"/>
        <family val="2"/>
      </rPr>
      <t xml:space="preserve">）。工具：</t>
    </r>
    <r>
      <rPr>
        <sz val="9"/>
        <color rgb="FF1F2A30"/>
        <rFont val="Arial"/>
        <family val="0"/>
        <charset val="1"/>
      </rPr>
      <t xml:space="preserve">iPoint · CMRT 6.2 / EMRT / AMRT</t>
    </r>
    <r>
      <rPr>
        <sz val="9"/>
        <color rgb="FF1F2A30"/>
        <rFont val="Noto Sans CJK SC"/>
        <family val="2"/>
      </rPr>
      <t xml:space="preserve">。 </t>
    </r>
    <r>
      <rPr>
        <sz val="9"/>
        <color rgb="FF1F2A30"/>
        <rFont val="Arial"/>
        <family val="0"/>
        <charset val="1"/>
      </rPr>
      <t xml:space="preserve">/ Requirement (#22/#24/#26). Tools: iPoint · CMRT 6.2 / EMRT / AMRT.</t>
    </r>
  </si>
  <si>
    <r>
      <rPr>
        <sz val="9"/>
        <color rgb="FF1F2A30"/>
        <rFont val="Arial"/>
        <family val="0"/>
        <charset val="1"/>
      </rPr>
      <t xml:space="preserve">#22 CMRT / #24 EMRT / #26 AMRT </t>
    </r>
    <r>
      <rPr>
        <sz val="9"/>
        <color rgb="FF1F2A30"/>
        <rFont val="Noto Sans CJK SC"/>
        <family val="2"/>
      </rPr>
      <t xml:space="preserve">年报（上游</t>
    </r>
    <r>
      <rPr>
        <sz val="9"/>
        <color rgb="FF1F2A30"/>
        <rFont val="Arial"/>
        <family val="0"/>
        <charset val="1"/>
      </rPr>
      <t xml:space="preserve">100%</t>
    </r>
    <r>
      <rPr>
        <sz val="9"/>
        <color rgb="FF1F2A30"/>
        <rFont val="Noto Sans CJK SC"/>
        <family val="2"/>
      </rPr>
      <t xml:space="preserve">回收）</t>
    </r>
  </si>
  <si>
    <r>
      <rPr>
        <sz val="9"/>
        <color rgb="FF1F2A30"/>
        <rFont val="Arial"/>
        <family val="0"/>
        <charset val="1"/>
      </rPr>
      <t xml:space="preserve">Autoliv </t>
    </r>
    <r>
      <rPr>
        <sz val="9"/>
        <color rgb="FF1F2A30"/>
        <rFont val="Noto Sans CJK SC"/>
        <family val="2"/>
      </rPr>
      <t xml:space="preserve">采购要求 </t>
    </r>
    <r>
      <rPr>
        <sz val="9"/>
        <color rgb="FF1F2A30"/>
        <rFont val="Arial"/>
        <family val="0"/>
        <charset val="1"/>
      </rPr>
      <t xml:space="preserve">#22/#24/#26 · </t>
    </r>
    <r>
      <rPr>
        <sz val="9"/>
        <color rgb="FF1F2A30"/>
        <rFont val="Noto Sans CJK SC"/>
        <family val="2"/>
      </rPr>
      <t xml:space="preserve">奇瑞</t>
    </r>
    <r>
      <rPr>
        <sz val="9"/>
        <color rgb="FF1F2A30"/>
        <rFont val="Arial"/>
        <family val="0"/>
        <charset val="1"/>
      </rPr>
      <t xml:space="preserve">(3TG+</t>
    </r>
    <r>
      <rPr>
        <sz val="9"/>
        <color rgb="FF1F2A30"/>
        <rFont val="Noto Sans CJK SC"/>
        <family val="2"/>
      </rPr>
      <t xml:space="preserve">钴云母锂镍石墨</t>
    </r>
    <r>
      <rPr>
        <sz val="9"/>
        <color rgb="FF1F2A30"/>
        <rFont val="Arial"/>
        <family val="0"/>
        <charset val="1"/>
      </rPr>
      <t xml:space="preserve">·2025</t>
    </r>
    <r>
      <rPr>
        <sz val="9"/>
        <color rgb="FF1F2A30"/>
        <rFont val="Noto Sans CJK SC"/>
        <family val="2"/>
      </rPr>
      <t xml:space="preserve">年</t>
    </r>
    <r>
      <rPr>
        <sz val="9"/>
        <color rgb="FF1F2A30"/>
        <rFont val="Arial"/>
        <family val="0"/>
        <charset val="1"/>
      </rPr>
      <t xml:space="preserve">606</t>
    </r>
    <r>
      <rPr>
        <sz val="9"/>
        <color rgb="FF1F2A30"/>
        <rFont val="Noto Sans CJK SC"/>
        <family val="2"/>
      </rPr>
      <t xml:space="preserve">家完成</t>
    </r>
    <r>
      <rPr>
        <sz val="9"/>
        <color rgb="FF1F2A30"/>
        <rFont val="Arial"/>
        <family val="0"/>
        <charset val="1"/>
      </rPr>
      <t xml:space="preserve">CMRT)· </t>
    </r>
    <r>
      <rPr>
        <sz val="9"/>
        <color rgb="FF1F2A30"/>
        <rFont val="Noto Sans CJK SC"/>
        <family val="2"/>
      </rPr>
      <t xml:space="preserve">小米</t>
    </r>
    <r>
      <rPr>
        <sz val="9"/>
        <color rgb="FF1F2A30"/>
        <rFont val="Arial"/>
        <family val="0"/>
        <charset val="1"/>
      </rPr>
      <t xml:space="preserve">(</t>
    </r>
    <r>
      <rPr>
        <sz val="9"/>
        <color rgb="FF1F2A30"/>
        <rFont val="Noto Sans CJK SC"/>
        <family val="2"/>
      </rPr>
      <t xml:space="preserve">反馈率</t>
    </r>
    <r>
      <rPr>
        <sz val="9"/>
        <color rgb="FF1F2A30"/>
        <rFont val="Arial"/>
        <family val="0"/>
        <charset val="1"/>
      </rPr>
      <t xml:space="preserve">100%)</t>
    </r>
  </si>
  <si>
    <r>
      <rPr>
        <sz val="9"/>
        <color rgb="FF1F2A30"/>
        <rFont val="Noto Sans CJK SC"/>
        <family val="2"/>
      </rPr>
      <t xml:space="preserve">若 </t>
    </r>
    <r>
      <rPr>
        <sz val="9"/>
        <color rgb="FF1F2A30"/>
        <rFont val="Arial"/>
        <family val="0"/>
        <charset val="1"/>
      </rPr>
      <t xml:space="preserve">CMRT/EMRT </t>
    </r>
    <r>
      <rPr>
        <sz val="9"/>
        <color rgb="FF1F2A30"/>
        <rFont val="Noto Sans CJK SC"/>
        <family val="2"/>
      </rPr>
      <t xml:space="preserve">发现受制裁或高风险冶炼厂，是否能按零件号追溯 </t>
    </r>
    <r>
      <rPr>
        <sz val="9"/>
        <color rgb="FF1F2A30"/>
        <rFont val="Arial"/>
        <family val="0"/>
        <charset val="1"/>
      </rPr>
      <t xml:space="preserve">3TG / </t>
    </r>
    <r>
      <rPr>
        <sz val="9"/>
        <color rgb="FF1F2A30"/>
        <rFont val="Noto Sans CJK SC"/>
        <family val="2"/>
      </rPr>
      <t xml:space="preserve">扩展矿产来源并立即移除替换？</t>
    </r>
  </si>
  <si>
    <t xml:space="preserve">If CMRT/EMRT identifies a sanctioned or high-risk smelter, can you trace 3TG / extended-mineral origin by part number and immediately remove/replace it?</t>
  </si>
  <si>
    <r>
      <rPr>
        <sz val="9"/>
        <color rgb="FF1F2A30"/>
        <rFont val="Arial"/>
        <family val="0"/>
        <charset val="1"/>
      </rPr>
      <t xml:space="preserve">Requirement</t>
    </r>
    <r>
      <rPr>
        <sz val="9"/>
        <color rgb="FF1F2A30"/>
        <rFont val="Noto Sans CJK SC"/>
        <family val="2"/>
      </rPr>
      <t xml:space="preserve">（</t>
    </r>
    <r>
      <rPr>
        <sz val="9"/>
        <color rgb="FF1F2A30"/>
        <rFont val="Arial"/>
        <family val="0"/>
        <charset val="1"/>
      </rPr>
      <t xml:space="preserve">#23/#25</t>
    </r>
    <r>
      <rPr>
        <sz val="9"/>
        <color rgb="FF1F2A30"/>
        <rFont val="Noto Sans CJK SC"/>
        <family val="2"/>
      </rPr>
      <t xml:space="preserve">）。 </t>
    </r>
    <r>
      <rPr>
        <sz val="9"/>
        <color rgb="FF1F2A30"/>
        <rFont val="Arial"/>
        <family val="0"/>
        <charset val="1"/>
      </rPr>
      <t xml:space="preserve">/ Requirement (#23/#25).</t>
    </r>
  </si>
  <si>
    <r>
      <rPr>
        <sz val="9"/>
        <color rgb="FF1F2A30"/>
        <rFont val="Arial"/>
        <family val="0"/>
        <charset val="1"/>
      </rPr>
      <t xml:space="preserve">#23/#25 </t>
    </r>
    <r>
      <rPr>
        <sz val="9"/>
        <color rgb="FF1F2A30"/>
        <rFont val="Noto Sans CJK SC"/>
        <family val="2"/>
      </rPr>
      <t xml:space="preserve">无受制裁</t>
    </r>
    <r>
      <rPr>
        <sz val="9"/>
        <color rgb="FF1F2A30"/>
        <rFont val="Arial"/>
        <family val="0"/>
        <charset val="1"/>
      </rPr>
      <t xml:space="preserve">/</t>
    </r>
    <r>
      <rPr>
        <sz val="9"/>
        <color rgb="FF1F2A30"/>
        <rFont val="Noto Sans CJK SC"/>
        <family val="2"/>
      </rPr>
      <t xml:space="preserve">高风险冶炼厂</t>
    </r>
  </si>
  <si>
    <r>
      <rPr>
        <sz val="9"/>
        <color rgb="FF1F2A30"/>
        <rFont val="Arial"/>
        <family val="0"/>
        <charset val="1"/>
      </rPr>
      <t xml:space="preserve">Autoliv </t>
    </r>
    <r>
      <rPr>
        <sz val="9"/>
        <color rgb="FF1F2A30"/>
        <rFont val="Noto Sans CJK SC"/>
        <family val="2"/>
      </rPr>
      <t xml:space="preserve">采购要求 </t>
    </r>
    <r>
      <rPr>
        <sz val="9"/>
        <color rgb="FF1F2A30"/>
        <rFont val="Arial"/>
        <family val="0"/>
        <charset val="1"/>
      </rPr>
      <t xml:space="preserve">#23/#25 · </t>
    </r>
    <r>
      <rPr>
        <sz val="9"/>
        <color rgb="FF1F2A30"/>
        <rFont val="Noto Sans CJK SC"/>
        <family val="2"/>
      </rPr>
      <t xml:space="preserve">小鹏</t>
    </r>
    <r>
      <rPr>
        <sz val="9"/>
        <color rgb="FF1F2A30"/>
        <rFont val="Arial"/>
        <family val="0"/>
        <charset val="1"/>
      </rPr>
      <t xml:space="preserve">(CAHRA </t>
    </r>
    <r>
      <rPr>
        <sz val="9"/>
        <color rgb="FF1F2A30"/>
        <rFont val="Noto Sans CJK SC"/>
        <family val="2"/>
      </rPr>
      <t xml:space="preserve">须立即通报</t>
    </r>
    <r>
      <rPr>
        <sz val="9"/>
        <color rgb="FF1F2A30"/>
        <rFont val="Arial"/>
        <family val="0"/>
        <charset val="1"/>
      </rPr>
      <t xml:space="preserve">)</t>
    </r>
  </si>
  <si>
    <r>
      <rPr>
        <sz val="9"/>
        <color rgb="FF1F2A30"/>
        <rFont val="Noto Sans CJK SC"/>
        <family val="2"/>
      </rPr>
      <t xml:space="preserve">是否已建立促进供应链可追溯与透明的管理体系，并按 </t>
    </r>
    <r>
      <rPr>
        <sz val="9"/>
        <color rgb="FF1F2A30"/>
        <rFont val="Arial"/>
        <family val="0"/>
        <charset val="1"/>
      </rPr>
      <t xml:space="preserve">OECD </t>
    </r>
    <r>
      <rPr>
        <sz val="9"/>
        <color rgb="FF1F2A30"/>
        <rFont val="Noto Sans CJK SC"/>
        <family val="2"/>
      </rPr>
      <t xml:space="preserve">尽职调查五步框架开展矿产尽调？</t>
    </r>
  </si>
  <si>
    <t xml:space="preserve">Have you established a management system for supply-chain traceability/transparency and conduct mineral due diligence per the OECD five-step framework?</t>
  </si>
  <si>
    <r>
      <rPr>
        <sz val="9"/>
        <color rgb="FF1F2A30"/>
        <rFont val="Arial"/>
        <family val="0"/>
        <charset val="1"/>
      </rPr>
      <t xml:space="preserve">Requirement</t>
    </r>
    <r>
      <rPr>
        <sz val="9"/>
        <color rgb="FF1F2A30"/>
        <rFont val="Noto Sans CJK SC"/>
        <family val="2"/>
      </rPr>
      <t xml:space="preserve">（</t>
    </r>
    <r>
      <rPr>
        <sz val="9"/>
        <color rgb="FF1F2A30"/>
        <rFont val="Arial"/>
        <family val="0"/>
        <charset val="1"/>
      </rPr>
      <t xml:space="preserve">#27</t>
    </r>
    <r>
      <rPr>
        <sz val="9"/>
        <color rgb="FF1F2A30"/>
        <rFont val="Noto Sans CJK SC"/>
        <family val="2"/>
      </rPr>
      <t xml:space="preserve">）。平台提供 </t>
    </r>
    <r>
      <rPr>
        <sz val="9"/>
        <color rgb="FF1F2A30"/>
        <rFont val="Arial"/>
        <family val="0"/>
        <charset val="1"/>
      </rPr>
      <t xml:space="preserve">OECD </t>
    </r>
    <r>
      <rPr>
        <sz val="9"/>
        <color rgb="FF1F2A30"/>
        <rFont val="Noto Sans CJK SC"/>
        <family val="2"/>
      </rPr>
      <t xml:space="preserve">尽调体系搭建。 </t>
    </r>
    <r>
      <rPr>
        <sz val="9"/>
        <color rgb="FF1F2A30"/>
        <rFont val="Arial"/>
        <family val="0"/>
        <charset val="1"/>
      </rPr>
      <t xml:space="preserve">/ Requirement (#27). Platform offers OECD due-diligence setup.</t>
    </r>
  </si>
  <si>
    <r>
      <rPr>
        <sz val="9"/>
        <color rgb="FF1F2A30"/>
        <rFont val="Arial"/>
        <family val="0"/>
        <charset val="1"/>
      </rPr>
      <t xml:space="preserve">#27 </t>
    </r>
    <r>
      <rPr>
        <sz val="9"/>
        <color rgb="FF1F2A30"/>
        <rFont val="Noto Sans CJK SC"/>
        <family val="2"/>
      </rPr>
      <t xml:space="preserve">实施 </t>
    </r>
    <r>
      <rPr>
        <sz val="9"/>
        <color rgb="FF1F2A30"/>
        <rFont val="Arial"/>
        <family val="0"/>
        <charset val="1"/>
      </rPr>
      <t xml:space="preserve">OECD </t>
    </r>
    <r>
      <rPr>
        <sz val="9"/>
        <color rgb="FF1F2A30"/>
        <rFont val="Noto Sans CJK SC"/>
        <family val="2"/>
      </rPr>
      <t xml:space="preserve">尽调指南</t>
    </r>
  </si>
  <si>
    <r>
      <rPr>
        <sz val="9"/>
        <color rgb="FF1F2A30"/>
        <rFont val="Arial"/>
        <family val="0"/>
        <charset val="1"/>
      </rPr>
      <t xml:space="preserve">Autoliv </t>
    </r>
    <r>
      <rPr>
        <sz val="9"/>
        <color rgb="FF1F2A30"/>
        <rFont val="Noto Sans CJK SC"/>
        <family val="2"/>
      </rPr>
      <t xml:space="preserve">采购要求 </t>
    </r>
    <r>
      <rPr>
        <sz val="9"/>
        <color rgb="FF1F2A30"/>
        <rFont val="Arial"/>
        <family val="0"/>
        <charset val="1"/>
      </rPr>
      <t xml:space="preserve">#27</t>
    </r>
  </si>
  <si>
    <t xml:space="preserve">其他高度关注材料</t>
  </si>
  <si>
    <t xml:space="preserve">产品中是否使用了其他可再生的高度关注材料？</t>
  </si>
  <si>
    <t xml:space="preserve">Are other materials of high concerns used in the product?</t>
  </si>
  <si>
    <r>
      <rPr>
        <sz val="9"/>
        <color rgb="FF1F2A30"/>
        <rFont val="Arial"/>
        <family val="0"/>
        <charset val="1"/>
      </rPr>
      <t xml:space="preserve">If "Yes", please describe in column L: (1) which materials of high concerns; (2) product name; (3) the proportion of the material in the product. / Materials of high concern include copper, lithium, palladium, zinc, steel/iron, glass (silica sand), graphite (natural), leather, mica, rubber (natural), aluminum, rare earth elements , Nickel.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t>
    </r>
    <r>
      <rPr>
        <sz val="9"/>
        <color rgb="FF1F2A30"/>
        <rFont val="Arial"/>
        <family val="0"/>
        <charset val="1"/>
      </rPr>
      <t xml:space="preserve">(1)</t>
    </r>
    <r>
      <rPr>
        <sz val="9"/>
        <color rgb="FF1F2A30"/>
        <rFont val="Noto Sans CJK SC"/>
        <family val="2"/>
      </rPr>
      <t xml:space="preserve">是何种高度关注材料；</t>
    </r>
    <r>
      <rPr>
        <sz val="9"/>
        <color rgb="FF1F2A30"/>
        <rFont val="Arial"/>
        <family val="0"/>
        <charset val="1"/>
      </rPr>
      <t xml:space="preserve">(2)</t>
    </r>
    <r>
      <rPr>
        <sz val="9"/>
        <color rgb="FF1F2A30"/>
        <rFont val="Noto Sans CJK SC"/>
        <family val="2"/>
      </rPr>
      <t xml:space="preserve">产品名称；</t>
    </r>
    <r>
      <rPr>
        <sz val="9"/>
        <color rgb="FF1F2A30"/>
        <rFont val="Arial"/>
        <family val="0"/>
        <charset val="1"/>
      </rPr>
      <t xml:space="preserve">(3) </t>
    </r>
    <r>
      <rPr>
        <sz val="9"/>
        <color rgb="FF1F2A30"/>
        <rFont val="Noto Sans CJK SC"/>
        <family val="2"/>
      </rPr>
      <t xml:space="preserve">该材料在产品中所占的比例。 </t>
    </r>
    <r>
      <rPr>
        <sz val="9"/>
        <color rgb="FF1F2A30"/>
        <rFont val="Arial"/>
        <family val="0"/>
        <charset val="1"/>
      </rPr>
      <t xml:space="preserve">/ </t>
    </r>
    <r>
      <rPr>
        <sz val="9"/>
        <color rgb="FF1F2A30"/>
        <rFont val="Noto Sans CJK SC"/>
        <family val="2"/>
      </rPr>
      <t xml:space="preserve">高度关注材料包括</t>
    </r>
  </si>
  <si>
    <r>
      <rPr>
        <sz val="9"/>
        <color rgb="FF1F2A30"/>
        <rFont val="Arial"/>
        <family val="0"/>
        <charset val="1"/>
      </rPr>
      <t xml:space="preserve">#26 </t>
    </r>
    <r>
      <rPr>
        <sz val="9"/>
        <color rgb="FF1F2A30"/>
        <rFont val="Noto Sans CJK SC"/>
        <family val="2"/>
      </rPr>
      <t xml:space="preserve">关键原材料 </t>
    </r>
    <r>
      <rPr>
        <sz val="9"/>
        <color rgb="FF1F2A30"/>
        <rFont val="Arial"/>
        <family val="0"/>
        <charset val="1"/>
      </rPr>
      <t xml:space="preserve">/ #27 OECD </t>
    </r>
    <r>
      <rPr>
        <sz val="9"/>
        <color rgb="FF1F2A30"/>
        <rFont val="Noto Sans CJK SC"/>
        <family val="2"/>
      </rPr>
      <t xml:space="preserve">尽调</t>
    </r>
  </si>
  <si>
    <t xml:space="preserve">产品中的高度关注材料是否可以溯源？</t>
  </si>
  <si>
    <t xml:space="preserve">Can the materials of high concerns in the product be traceable?</t>
  </si>
  <si>
    <r>
      <rPr>
        <sz val="9"/>
        <color rgb="FF1F2A30"/>
        <rFont val="Arial"/>
        <family val="0"/>
        <charset val="1"/>
      </rPr>
      <t xml:space="preserve">If "Yes", please describe in column L: (1) traceable materials; (2) measures to trace; (3) results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t>
    </r>
    <r>
      <rPr>
        <sz val="9"/>
        <color rgb="FF1F2A30"/>
        <rFont val="Arial"/>
        <family val="0"/>
        <charset val="1"/>
      </rPr>
      <t xml:space="preserve">(1)</t>
    </r>
    <r>
      <rPr>
        <sz val="9"/>
        <color rgb="FF1F2A30"/>
        <rFont val="Noto Sans CJK SC"/>
        <family val="2"/>
      </rPr>
      <t xml:space="preserve">溯源材料名称；</t>
    </r>
    <r>
      <rPr>
        <sz val="9"/>
        <color rgb="FF1F2A30"/>
        <rFont val="Arial"/>
        <family val="0"/>
        <charset val="1"/>
      </rPr>
      <t xml:space="preserve">(2)</t>
    </r>
    <r>
      <rPr>
        <sz val="9"/>
        <color rgb="FF1F2A30"/>
        <rFont val="Noto Sans CJK SC"/>
        <family val="2"/>
      </rPr>
      <t xml:space="preserve">溯源的措施；</t>
    </r>
    <r>
      <rPr>
        <sz val="9"/>
        <color rgb="FF1F2A30"/>
        <rFont val="Arial"/>
        <family val="0"/>
        <charset val="1"/>
      </rPr>
      <t xml:space="preserve">(3)</t>
    </r>
    <r>
      <rPr>
        <sz val="9"/>
        <color rgb="FF1F2A30"/>
        <rFont val="Noto Sans CJK SC"/>
        <family val="2"/>
      </rPr>
      <t xml:space="preserve">溯源结果</t>
    </r>
  </si>
  <si>
    <t xml:space="preserve">是否有致力于提高产品原料中高度关注材料所使用的可回收成分的比例？</t>
  </si>
  <si>
    <t xml:space="preserve">Do you have work to increase the share recycled content for materials of high concern?</t>
  </si>
  <si>
    <r>
      <rPr>
        <sz val="9"/>
        <color rgb="FF1F2A30"/>
        <rFont val="Arial"/>
        <family val="0"/>
        <charset val="1"/>
      </rPr>
      <t xml:space="preserve">If "Yes", please describe which materials of high concerns this applies to, and what the share of content is in column L.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栏描述使用了何种回收的高度关注材料以及其比例。</t>
    </r>
  </si>
  <si>
    <t xml:space="preserve">是否调研了高度关注材料的生产过程是否使用清洁能源？</t>
  </si>
  <si>
    <t xml:space="preserve">Have you investigated whether renewable energy is used in the manufacturing process of materials of high concerns?</t>
  </si>
  <si>
    <r>
      <rPr>
        <sz val="9"/>
        <color rgb="FF1F2A30"/>
        <rFont val="Arial"/>
        <family val="0"/>
        <charset val="1"/>
      </rPr>
      <t xml:space="preserve">If "Yes", please describe in column L: (1) which materials of high concerns; (2) investigation methods; (3) proportion of renewable energy.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t>
    </r>
    <r>
      <rPr>
        <sz val="9"/>
        <color rgb="FF1F2A30"/>
        <rFont val="Arial"/>
        <family val="0"/>
        <charset val="1"/>
      </rPr>
      <t xml:space="preserve">(1)</t>
    </r>
    <r>
      <rPr>
        <sz val="9"/>
        <color rgb="FF1F2A30"/>
        <rFont val="Noto Sans CJK SC"/>
        <family val="2"/>
      </rPr>
      <t xml:space="preserve">高度关注材料名称；</t>
    </r>
    <r>
      <rPr>
        <sz val="9"/>
        <color rgb="FF1F2A30"/>
        <rFont val="Arial"/>
        <family val="0"/>
        <charset val="1"/>
      </rPr>
      <t xml:space="preserve">(2)</t>
    </r>
    <r>
      <rPr>
        <sz val="9"/>
        <color rgb="FF1F2A30"/>
        <rFont val="Noto Sans CJK SC"/>
        <family val="2"/>
      </rPr>
      <t xml:space="preserve">调研方法</t>
    </r>
    <r>
      <rPr>
        <sz val="9"/>
        <color rgb="FF1F2A30"/>
        <rFont val="Arial"/>
        <family val="0"/>
        <charset val="1"/>
      </rPr>
      <t xml:space="preserve">; (3)</t>
    </r>
    <r>
      <rPr>
        <sz val="9"/>
        <color rgb="FF1F2A30"/>
        <rFont val="Noto Sans CJK SC"/>
        <family val="2"/>
      </rPr>
      <t xml:space="preserve">再生能源的比例</t>
    </r>
  </si>
  <si>
    <r>
      <rPr>
        <sz val="9"/>
        <color rgb="FF1F2A30"/>
        <rFont val="Noto Sans CJK SC"/>
        <family val="2"/>
      </rPr>
      <t xml:space="preserve">是否确认过高度关注生产材料的开采和生产过程中没有侵犯人权</t>
    </r>
    <r>
      <rPr>
        <sz val="9"/>
        <color rgb="FF1F2A30"/>
        <rFont val="Arial"/>
        <family val="0"/>
        <charset val="1"/>
      </rPr>
      <t xml:space="preserve">?</t>
    </r>
  </si>
  <si>
    <t xml:space="preserve">Have a strategy in place to confirm whether there is violation of human rights in the mining and manufacturing of materials of high concerns?</t>
  </si>
  <si>
    <t xml:space="preserve">If "Yes", please describe in column L: (1) what system or method is used to confirm; (2) results. / Definition: human rights are the inherent rights of all people, regardless of race, gender, sexual orientation, nationality, ethnicity, language, religion or any other status. Human rights include the right to live and have freedom, the right to be free from slavery and torture, the right of freedom o</t>
  </si>
  <si>
    <t xml:space="preserve">是否确认过高度关注生产材料的开采和生产过程没有侵犯动物权问题？</t>
  </si>
  <si>
    <t xml:space="preserve">Have you a strategy in place to confirm that there is no infringement of animal rights in the manufacturing process of materials of high concerns?</t>
  </si>
  <si>
    <r>
      <rPr>
        <sz val="9"/>
        <color rgb="FF1F2A30"/>
        <rFont val="Arial"/>
        <family val="0"/>
        <charset val="1"/>
      </rPr>
      <t xml:space="preserve">If "Yes", please describe in column L: (1) what system or method is used to confirm; (2) results. / Definition: free from hunger and thirst, freedom to live comfortably, freedom from pain and disease, freedom to express nature, freedom from fear and sorrow.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t>
    </r>
    <r>
      <rPr>
        <sz val="9"/>
        <color rgb="FF1F2A30"/>
        <rFont val="Arial"/>
        <family val="0"/>
        <charset val="1"/>
      </rPr>
      <t xml:space="preserve">(1)</t>
    </r>
    <r>
      <rPr>
        <sz val="9"/>
        <color rgb="FF1F2A30"/>
        <rFont val="Noto Sans CJK SC"/>
        <family val="2"/>
      </rPr>
      <t xml:space="preserve">通过何种系统或者方式进行确认；</t>
    </r>
    <r>
      <rPr>
        <sz val="9"/>
        <color rgb="FF1F2A30"/>
        <rFont val="Arial"/>
        <family val="0"/>
        <charset val="1"/>
      </rPr>
      <t xml:space="preserve">(2)</t>
    </r>
    <r>
      <rPr>
        <sz val="9"/>
        <color rgb="FF1F2A30"/>
        <rFont val="Noto Sans CJK SC"/>
        <family val="2"/>
      </rPr>
      <t xml:space="preserve">确认结果 </t>
    </r>
    <r>
      <rPr>
        <sz val="9"/>
        <color rgb="FF1F2A30"/>
        <rFont val="Arial"/>
        <family val="0"/>
        <charset val="1"/>
      </rPr>
      <t xml:space="preserve">/ </t>
    </r>
    <r>
      <rPr>
        <sz val="9"/>
        <color rgb="FF1F2A30"/>
        <rFont val="Noto Sans CJK SC"/>
        <family val="2"/>
      </rPr>
      <t xml:space="preserve">动物权意味着动物享有：不受饥渴的自由</t>
    </r>
    <r>
      <rPr>
        <sz val="9"/>
        <color rgb="FF1F2A30"/>
        <rFont val="Arial"/>
        <family val="0"/>
        <charset val="1"/>
      </rPr>
      <t xml:space="preserve">,</t>
    </r>
    <r>
      <rPr>
        <sz val="9"/>
        <color rgb="FF1F2A30"/>
        <rFont val="Noto Sans CJK SC"/>
        <family val="2"/>
      </rPr>
      <t xml:space="preserve">生活舒适的自由</t>
    </r>
    <r>
      <rPr>
        <sz val="9"/>
        <color rgb="FF1F2A30"/>
        <rFont val="Arial"/>
        <family val="0"/>
        <charset val="1"/>
      </rPr>
      <t xml:space="preserve">,</t>
    </r>
    <r>
      <rPr>
        <sz val="9"/>
        <color rgb="FF1F2A30"/>
        <rFont val="Noto Sans CJK SC"/>
        <family val="2"/>
      </rPr>
      <t xml:space="preserve">不受痛苦伤害和疾病的自由</t>
    </r>
    <r>
      <rPr>
        <sz val="9"/>
        <color rgb="FF1F2A30"/>
        <rFont val="Arial"/>
        <family val="0"/>
        <charset val="1"/>
      </rPr>
      <t xml:space="preserve">,</t>
    </r>
    <r>
      <rPr>
        <sz val="9"/>
        <color rgb="FF1F2A30"/>
        <rFont val="Noto Sans CJK SC"/>
        <family val="2"/>
      </rPr>
      <t xml:space="preserve">表达天性的自由</t>
    </r>
    <r>
      <rPr>
        <sz val="9"/>
        <color rgb="FF1F2A30"/>
        <rFont val="Arial"/>
        <family val="0"/>
        <charset val="1"/>
      </rPr>
      <t xml:space="preserve">,</t>
    </r>
    <r>
      <rPr>
        <sz val="9"/>
        <color rgb="FF1F2A30"/>
        <rFont val="Noto Sans CJK SC"/>
        <family val="2"/>
      </rPr>
      <t xml:space="preserve">无恐惧和悲伤的自由。</t>
    </r>
  </si>
  <si>
    <r>
      <rPr>
        <sz val="9"/>
        <color rgb="FF1F2A30"/>
        <rFont val="Arial"/>
        <family val="0"/>
        <charset val="1"/>
      </rPr>
      <t xml:space="preserve">P5 </t>
    </r>
    <r>
      <rPr>
        <sz val="9"/>
        <color rgb="FF1F2A30"/>
        <rFont val="Noto Sans CJK SC"/>
        <family val="2"/>
      </rPr>
      <t xml:space="preserve">安全</t>
    </r>
    <r>
      <rPr>
        <sz val="9"/>
        <color rgb="FF1F2A30"/>
        <rFont val="Arial"/>
        <family val="0"/>
        <charset val="1"/>
      </rPr>
      <t xml:space="preserve">·</t>
    </r>
    <r>
      <rPr>
        <sz val="9"/>
        <color rgb="FF1F2A30"/>
        <rFont val="Noto Sans CJK SC"/>
        <family val="2"/>
      </rPr>
      <t xml:space="preserve">包容与环境职场</t>
    </r>
  </si>
  <si>
    <t xml:space="preserve">职场平等和多样性</t>
  </si>
  <si>
    <r>
      <rPr>
        <sz val="9"/>
        <color rgb="FF1F2A30"/>
        <rFont val="Noto Sans CJK SC"/>
        <family val="2"/>
      </rPr>
      <t xml:space="preserve">工厂女性正式员工员工比例是否超过</t>
    </r>
    <r>
      <rPr>
        <sz val="9"/>
        <color rgb="FF1F2A30"/>
        <rFont val="Arial"/>
        <family val="0"/>
        <charset val="1"/>
      </rPr>
      <t xml:space="preserve">20%</t>
    </r>
    <r>
      <rPr>
        <sz val="9"/>
        <color rgb="FF1F2A30"/>
        <rFont val="Noto Sans CJK SC"/>
        <family val="2"/>
      </rPr>
      <t xml:space="preserve">？</t>
    </r>
  </si>
  <si>
    <t xml:space="preserve">Is the proportion of female permanent employees in the factory more than 20%?</t>
  </si>
  <si>
    <r>
      <rPr>
        <sz val="9"/>
        <color rgb="FF1F2A30"/>
        <rFont val="Arial"/>
        <family val="0"/>
        <charset val="1"/>
      </rPr>
      <t xml:space="preserve">If "Yes", please provide the proportion of female and other gender(s) in column L.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栏提供女性以及其他性别比例。</t>
    </r>
  </si>
  <si>
    <r>
      <rPr>
        <sz val="9"/>
        <color rgb="FF1F2A30"/>
        <rFont val="Arial"/>
        <family val="0"/>
        <charset val="1"/>
      </rPr>
      <t xml:space="preserve">#29 </t>
    </r>
    <r>
      <rPr>
        <sz val="9"/>
        <color rgb="FF1F2A30"/>
        <rFont val="Noto Sans CJK SC"/>
        <family val="2"/>
      </rPr>
      <t xml:space="preserve">包容 </t>
    </r>
    <r>
      <rPr>
        <sz val="9"/>
        <color rgb="FF1F2A30"/>
        <rFont val="Arial"/>
        <family val="0"/>
        <charset val="1"/>
      </rPr>
      <t xml:space="preserve">/ </t>
    </r>
    <r>
      <rPr>
        <sz val="9"/>
        <color rgb="FF1F2A30"/>
        <rFont val="Noto Sans CJK SC"/>
        <family val="2"/>
      </rPr>
      <t xml:space="preserve">多样性</t>
    </r>
  </si>
  <si>
    <r>
      <rPr>
        <sz val="9"/>
        <color rgb="FF1F2A30"/>
        <rFont val="Noto Sans CJK SC"/>
        <family val="2"/>
      </rPr>
      <t xml:space="preserve">工厂管理层员工（</t>
    </r>
    <r>
      <rPr>
        <sz val="9"/>
        <color rgb="FF1F2A30"/>
        <rFont val="Arial"/>
        <family val="0"/>
        <charset val="1"/>
      </rPr>
      <t xml:space="preserve">EMT</t>
    </r>
    <r>
      <rPr>
        <sz val="9"/>
        <color rgb="FF1F2A30"/>
        <rFont val="Noto Sans CJK SC"/>
        <family val="2"/>
      </rPr>
      <t xml:space="preserve">）中女性是否超过</t>
    </r>
    <r>
      <rPr>
        <sz val="9"/>
        <color rgb="FF1F2A30"/>
        <rFont val="Arial"/>
        <family val="0"/>
        <charset val="1"/>
      </rPr>
      <t xml:space="preserve">20%</t>
    </r>
    <r>
      <rPr>
        <sz val="9"/>
        <color rgb="FF1F2A30"/>
        <rFont val="Noto Sans CJK SC"/>
        <family val="2"/>
      </rPr>
      <t xml:space="preserve">？</t>
    </r>
  </si>
  <si>
    <t xml:space="preserve">Are there more than 20% of female in the factory's executive management team (EMT)?</t>
  </si>
  <si>
    <t xml:space="preserve">工厂是否有雇佣残障（如听力障碍人士）人士？</t>
  </si>
  <si>
    <t xml:space="preserve">Does the factory employ people with neurovariations (such as hearing impaired)?</t>
  </si>
  <si>
    <r>
      <rPr>
        <sz val="9"/>
        <color rgb="FF1F2A30"/>
        <rFont val="Arial"/>
        <family val="0"/>
        <charset val="1"/>
      </rPr>
      <t xml:space="preserve">If "Yes", please provide the number of people in column L.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栏提供具体人数。</t>
    </r>
  </si>
  <si>
    <t xml:space="preserve">是否有计划提高职场平等和多样性？</t>
  </si>
  <si>
    <t xml:space="preserve">Does the factory have a plan for increased equality and diversity in place?</t>
  </si>
  <si>
    <r>
      <rPr>
        <sz val="9"/>
        <color rgb="FF1F2A30"/>
        <rFont val="Arial"/>
        <family val="0"/>
        <charset val="1"/>
      </rPr>
      <t xml:space="preserve">If "Yes", please provide the link or details in column L.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栏提供具体网址或信息。</t>
    </r>
  </si>
  <si>
    <t xml:space="preserve">行为准则</t>
  </si>
  <si>
    <r>
      <rPr>
        <sz val="9"/>
        <color rgb="FF1F2A30"/>
        <rFont val="Noto Sans CJK SC"/>
        <family val="2"/>
      </rPr>
      <t xml:space="preserve">公司及工厂是否制定自己的行为准则</t>
    </r>
    <r>
      <rPr>
        <sz val="9"/>
        <color rgb="FF1F2A30"/>
        <rFont val="Arial"/>
        <family val="0"/>
        <charset val="1"/>
      </rPr>
      <t xml:space="preserve">(CoC)</t>
    </r>
    <r>
      <rPr>
        <sz val="9"/>
        <color rgb="FF1F2A30"/>
        <rFont val="Noto Sans CJK SC"/>
        <family val="2"/>
      </rPr>
      <t xml:space="preserve">？</t>
    </r>
  </si>
  <si>
    <t xml:space="preserve">Have the corporate and the factory developed their own Code of Conduct (CoC)?</t>
  </si>
  <si>
    <r>
      <rPr>
        <sz val="9"/>
        <color rgb="FF1F2A30"/>
        <rFont val="Arial"/>
        <family val="0"/>
        <charset val="1"/>
      </rPr>
      <t xml:space="preserve">#34 </t>
    </r>
    <r>
      <rPr>
        <sz val="9"/>
        <color rgb="FF1F2A30"/>
        <rFont val="Noto Sans CJK SC"/>
        <family val="2"/>
      </rPr>
      <t xml:space="preserve">传导 </t>
    </r>
    <r>
      <rPr>
        <sz val="9"/>
        <color rgb="FF1F2A30"/>
        <rFont val="Arial"/>
        <family val="0"/>
        <charset val="1"/>
      </rPr>
      <t xml:space="preserve">/ CoC</t>
    </r>
  </si>
  <si>
    <r>
      <rPr>
        <sz val="9"/>
        <color rgb="FF1F2A30"/>
        <rFont val="Arial"/>
        <family val="0"/>
        <charset val="1"/>
      </rPr>
      <t xml:space="preserve">Polestar SSI</t>
    </r>
    <r>
      <rPr>
        <sz val="9"/>
        <color rgb="FF1F2A30"/>
        <rFont val="Noto Sans CJK SC"/>
        <family val="2"/>
      </rPr>
      <t xml:space="preserve">（基准）</t>
    </r>
    <r>
      <rPr>
        <sz val="9"/>
        <color rgb="FF1F2A30"/>
        <rFont val="Arial"/>
        <family val="0"/>
        <charset val="1"/>
      </rPr>
      <t xml:space="preserve">· </t>
    </r>
    <r>
      <rPr>
        <sz val="9"/>
        <color rgb="FF1F2A30"/>
        <rFont val="Noto Sans CJK SC"/>
        <family val="2"/>
      </rPr>
      <t xml:space="preserve">吉利</t>
    </r>
    <r>
      <rPr>
        <sz val="9"/>
        <color rgb="FF1F2A30"/>
        <rFont val="Arial"/>
        <family val="0"/>
        <charset val="1"/>
      </rPr>
      <t xml:space="preserve">(</t>
    </r>
    <r>
      <rPr>
        <sz val="9"/>
        <color rgb="FF1F2A30"/>
        <rFont val="Noto Sans CJK SC"/>
        <family val="2"/>
      </rPr>
      <t xml:space="preserve">合同组成部分</t>
    </r>
    <r>
      <rPr>
        <sz val="9"/>
        <color rgb="FF1F2A30"/>
        <rFont val="Arial"/>
        <family val="0"/>
        <charset val="1"/>
      </rPr>
      <t xml:space="preserve">)· </t>
    </r>
    <r>
      <rPr>
        <sz val="9"/>
        <color rgb="FF1F2A30"/>
        <rFont val="Noto Sans CJK SC"/>
        <family val="2"/>
      </rPr>
      <t xml:space="preserve">蔚来</t>
    </r>
    <r>
      <rPr>
        <sz val="9"/>
        <color rgb="FF1F2A30"/>
        <rFont val="Arial"/>
        <family val="0"/>
        <charset val="1"/>
      </rPr>
      <t xml:space="preserve">(</t>
    </r>
    <r>
      <rPr>
        <sz val="9"/>
        <color rgb="FF1F2A30"/>
        <rFont val="Noto Sans CJK SC"/>
        <family val="2"/>
      </rPr>
      <t xml:space="preserve">最低标准即不合作</t>
    </r>
    <r>
      <rPr>
        <sz val="9"/>
        <color rgb="FF1F2A30"/>
        <rFont val="Arial"/>
        <family val="0"/>
        <charset val="1"/>
      </rPr>
      <t xml:space="preserve">)· </t>
    </r>
    <r>
      <rPr>
        <sz val="9"/>
        <color rgb="FF1F2A30"/>
        <rFont val="Noto Sans CJK SC"/>
        <family val="2"/>
      </rPr>
      <t xml:space="preserve">奇瑞</t>
    </r>
    <r>
      <rPr>
        <sz val="9"/>
        <color rgb="FF1F2A30"/>
        <rFont val="Arial"/>
        <family val="0"/>
        <charset val="1"/>
      </rPr>
      <t xml:space="preserve">(</t>
    </r>
    <r>
      <rPr>
        <sz val="9"/>
        <color rgb="FF1F2A30"/>
        <rFont val="Noto Sans CJK SC"/>
        <family val="2"/>
      </rPr>
      <t xml:space="preserve">十大红线</t>
    </r>
    <r>
      <rPr>
        <sz val="9"/>
        <color rgb="FF1F2A30"/>
        <rFont val="Arial"/>
        <family val="0"/>
        <charset val="1"/>
      </rPr>
      <t xml:space="preserve">)</t>
    </r>
  </si>
  <si>
    <r>
      <rPr>
        <sz val="9"/>
        <color rgb="FF1F2A30"/>
        <rFont val="Noto Sans CJK SC"/>
        <family val="2"/>
      </rPr>
      <t xml:space="preserve">公司与工厂是否知晓并同意在其运营及供应链中贯彻 </t>
    </r>
    <r>
      <rPr>
        <sz val="9"/>
        <color rgb="FF1F2A30"/>
        <rFont val="Arial"/>
        <family val="0"/>
        <charset val="1"/>
      </rPr>
      <t xml:space="preserve">Autoliv </t>
    </r>
    <r>
      <rPr>
        <sz val="9"/>
        <color rgb="FF1F2A30"/>
        <rFont val="Noto Sans CJK SC"/>
        <family val="2"/>
      </rPr>
      <t xml:space="preserve">的《商业伙伴行为准则》（</t>
    </r>
    <r>
      <rPr>
        <sz val="9"/>
        <color rgb="FF1F2A30"/>
        <rFont val="Arial"/>
        <family val="0"/>
        <charset val="1"/>
      </rPr>
      <t xml:space="preserve">CoC</t>
    </r>
    <r>
      <rPr>
        <sz val="9"/>
        <color rgb="FF1F2A30"/>
        <rFont val="Noto Sans CJK SC"/>
        <family val="2"/>
      </rPr>
      <t xml:space="preserve">）？</t>
    </r>
  </si>
  <si>
    <t xml:space="preserve">Do the corporate and the factory acknowledge and agree to implement Autoliv's Code of Conduct for Business Partners in their operations and supply chain?</t>
  </si>
  <si>
    <r>
      <rPr>
        <sz val="9"/>
        <color rgb="FF1F2A30"/>
        <rFont val="Noto Sans CJK SC"/>
        <family val="2"/>
      </rPr>
      <t xml:space="preserve">如果</t>
    </r>
    <r>
      <rPr>
        <sz val="9"/>
        <color rgb="FF1F2A30"/>
        <rFont val="Arial"/>
        <family val="0"/>
        <charset val="1"/>
      </rPr>
      <t xml:space="preserve">'</t>
    </r>
    <r>
      <rPr>
        <sz val="9"/>
        <color rgb="FF1F2A30"/>
        <rFont val="Noto Sans CJK SC"/>
        <family val="2"/>
      </rPr>
      <t xml:space="preserve">是</t>
    </r>
    <r>
      <rPr>
        <sz val="9"/>
        <color rgb="FF1F2A30"/>
        <rFont val="Arial"/>
        <family val="0"/>
        <charset val="1"/>
      </rPr>
      <t xml:space="preserve">'</t>
    </r>
    <r>
      <rPr>
        <sz val="9"/>
        <color rgb="FF1F2A30"/>
        <rFont val="Noto Sans CJK SC"/>
        <family val="2"/>
      </rPr>
      <t xml:space="preserve">，请提供签署记录或链接。作为长期合作前提；须向上游传导（见 </t>
    </r>
    <r>
      <rPr>
        <sz val="9"/>
        <color rgb="FF1F2A30"/>
        <rFont val="Arial"/>
        <family val="0"/>
        <charset val="1"/>
      </rPr>
      <t xml:space="preserve">#34</t>
    </r>
    <r>
      <rPr>
        <sz val="9"/>
        <color rgb="FF1F2A30"/>
        <rFont val="Noto Sans CJK SC"/>
        <family val="2"/>
      </rPr>
      <t xml:space="preserve">）。 </t>
    </r>
    <r>
      <rPr>
        <sz val="9"/>
        <color rgb="FF1F2A30"/>
        <rFont val="Arial"/>
        <family val="0"/>
        <charset val="1"/>
      </rPr>
      <t xml:space="preserve">/ If "Yes", provide the signed record or link. A precondition for long-term cooperation; must be cascaded upstream (see #34).</t>
    </r>
  </si>
  <si>
    <r>
      <rPr>
        <sz val="9"/>
        <color rgb="FF1F2A30"/>
        <rFont val="Noto Sans CJK SC"/>
        <family val="2"/>
      </rPr>
      <t xml:space="preserve">工厂是否对供应商进行</t>
    </r>
    <r>
      <rPr>
        <sz val="9"/>
        <color rgb="FF1F2A30"/>
        <rFont val="Arial"/>
        <family val="0"/>
        <charset val="1"/>
      </rPr>
      <t xml:space="preserve">CSR</t>
    </r>
    <r>
      <rPr>
        <sz val="9"/>
        <color rgb="FF1F2A30"/>
        <rFont val="Noto Sans CJK SC"/>
        <family val="2"/>
      </rPr>
      <t xml:space="preserve">现场审核？</t>
    </r>
  </si>
  <si>
    <t xml:space="preserve">Does the factory conduct on-site CSR audits on suppliers?</t>
  </si>
  <si>
    <r>
      <rPr>
        <sz val="9"/>
        <color rgb="FF1F2A30"/>
        <rFont val="Arial"/>
        <family val="0"/>
        <charset val="1"/>
      </rPr>
      <t xml:space="preserve">If "Yes", please provide the frequency and the date of a recent audit in column L.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栏提供具体频次和最近一次审核的日期。</t>
    </r>
  </si>
  <si>
    <r>
      <rPr>
        <sz val="9"/>
        <color rgb="FF1F2A30"/>
        <rFont val="Arial"/>
        <family val="0"/>
        <charset val="1"/>
      </rPr>
      <t xml:space="preserve">#37 </t>
    </r>
    <r>
      <rPr>
        <sz val="9"/>
        <color rgb="FF1F2A30"/>
        <rFont val="Noto Sans CJK SC"/>
        <family val="2"/>
      </rPr>
      <t xml:space="preserve">现场审核</t>
    </r>
  </si>
  <si>
    <r>
      <rPr>
        <sz val="9"/>
        <color rgb="FF1F2A30"/>
        <rFont val="Arial"/>
        <family val="0"/>
        <charset val="1"/>
      </rPr>
      <t xml:space="preserve">Polestar SSI</t>
    </r>
    <r>
      <rPr>
        <sz val="9"/>
        <color rgb="FF1F2A30"/>
        <rFont val="Noto Sans CJK SC"/>
        <family val="2"/>
      </rPr>
      <t xml:space="preserve">（基准）</t>
    </r>
    <r>
      <rPr>
        <sz val="9"/>
        <color rgb="FF1F2A30"/>
        <rFont val="Arial"/>
        <family val="0"/>
        <charset val="1"/>
      </rPr>
      <t xml:space="preserve">· </t>
    </r>
    <r>
      <rPr>
        <sz val="9"/>
        <color rgb="FF1F2A30"/>
        <rFont val="Noto Sans CJK SC"/>
        <family val="2"/>
      </rPr>
      <t xml:space="preserve">蔚来</t>
    </r>
    <r>
      <rPr>
        <sz val="9"/>
        <color rgb="FF1F2A30"/>
        <rFont val="Arial"/>
        <family val="0"/>
        <charset val="1"/>
      </rPr>
      <t xml:space="preserve">(2025</t>
    </r>
    <r>
      <rPr>
        <sz val="9"/>
        <color rgb="FF1F2A30"/>
        <rFont val="Noto Sans CJK SC"/>
        <family val="2"/>
      </rPr>
      <t xml:space="preserve">年</t>
    </r>
    <r>
      <rPr>
        <sz val="9"/>
        <color rgb="FF1F2A30"/>
        <rFont val="Arial"/>
        <family val="0"/>
        <charset val="1"/>
      </rPr>
      <t xml:space="preserve">96</t>
    </r>
    <r>
      <rPr>
        <sz val="9"/>
        <color rgb="FF1F2A30"/>
        <rFont val="Noto Sans CJK SC"/>
        <family val="2"/>
      </rPr>
      <t xml:space="preserve">次现场评审</t>
    </r>
    <r>
      <rPr>
        <sz val="9"/>
        <color rgb="FF1F2A30"/>
        <rFont val="Arial"/>
        <family val="0"/>
        <charset val="1"/>
      </rPr>
      <t xml:space="preserve">)· </t>
    </r>
    <r>
      <rPr>
        <sz val="9"/>
        <color rgb="FF1F2A30"/>
        <rFont val="Noto Sans CJK SC"/>
        <family val="2"/>
      </rPr>
      <t xml:space="preserve">小米</t>
    </r>
    <r>
      <rPr>
        <sz val="9"/>
        <color rgb="FF1F2A30"/>
        <rFont val="Arial"/>
        <family val="0"/>
        <charset val="1"/>
      </rPr>
      <t xml:space="preserve">(611</t>
    </r>
    <r>
      <rPr>
        <sz val="9"/>
        <color rgb="FF1F2A30"/>
        <rFont val="Noto Sans CJK SC"/>
        <family val="2"/>
      </rPr>
      <t xml:space="preserve">家现场审核</t>
    </r>
    <r>
      <rPr>
        <sz val="9"/>
        <color rgb="FF1F2A30"/>
        <rFont val="Arial"/>
        <family val="0"/>
        <charset val="1"/>
      </rPr>
      <t xml:space="preserve">)</t>
    </r>
  </si>
  <si>
    <t xml:space="preserve">工厂是否在其招聘程序中规定不允许招聘童工？</t>
  </si>
  <si>
    <t xml:space="preserve">Does the factory stipulate that child labor is not allowed in its recruitment procedures?</t>
  </si>
  <si>
    <r>
      <rPr>
        <sz val="9"/>
        <color rgb="FF1F2A30"/>
        <rFont val="Arial"/>
        <family val="0"/>
        <charset val="1"/>
      </rPr>
      <t xml:space="preserve">The definition of child labor is worker under the age of 15 in accordance with International Labor Organization (ILO) standards, or in accordance with local regulations. / </t>
    </r>
    <r>
      <rPr>
        <sz val="9"/>
        <color rgb="FF1F2A30"/>
        <rFont val="Noto Sans CJK SC"/>
        <family val="2"/>
      </rPr>
      <t xml:space="preserve">童工定义按照国际劳工组织（</t>
    </r>
    <r>
      <rPr>
        <sz val="9"/>
        <color rgb="FF1F2A30"/>
        <rFont val="Arial"/>
        <family val="0"/>
        <charset val="1"/>
      </rPr>
      <t xml:space="preserve">ILO</t>
    </r>
    <r>
      <rPr>
        <sz val="9"/>
        <color rgb="FF1F2A30"/>
        <rFont val="Noto Sans CJK SC"/>
        <family val="2"/>
      </rPr>
      <t xml:space="preserve">）标准为</t>
    </r>
    <r>
      <rPr>
        <sz val="9"/>
        <color rgb="FF1F2A30"/>
        <rFont val="Arial"/>
        <family val="0"/>
        <charset val="1"/>
      </rPr>
      <t xml:space="preserve">15</t>
    </r>
    <r>
      <rPr>
        <sz val="9"/>
        <color rgb="FF1F2A30"/>
        <rFont val="Noto Sans CJK SC"/>
        <family val="2"/>
      </rPr>
      <t xml:space="preserve">周岁以下，或按照当地法规的童工定义。</t>
    </r>
  </si>
  <si>
    <r>
      <rPr>
        <sz val="9"/>
        <color rgb="FF1F2A30"/>
        <rFont val="Arial"/>
        <family val="0"/>
        <charset val="1"/>
      </rPr>
      <t xml:space="preserve">#28 </t>
    </r>
    <r>
      <rPr>
        <sz val="9"/>
        <color rgb="FF1F2A30"/>
        <rFont val="Noto Sans CJK SC"/>
        <family val="2"/>
      </rPr>
      <t xml:space="preserve">职业健康安全 </t>
    </r>
    <r>
      <rPr>
        <sz val="9"/>
        <color rgb="FF1F2A30"/>
        <rFont val="Arial"/>
        <family val="0"/>
        <charset val="1"/>
      </rPr>
      <t xml:space="preserve">/ </t>
    </r>
    <r>
      <rPr>
        <sz val="9"/>
        <color rgb="FF1F2A30"/>
        <rFont val="Noto Sans CJK SC"/>
        <family val="2"/>
      </rPr>
      <t xml:space="preserve">劳工人权</t>
    </r>
  </si>
  <si>
    <r>
      <rPr>
        <sz val="9"/>
        <color rgb="FF1F2A30"/>
        <rFont val="Arial"/>
        <family val="0"/>
        <charset val="1"/>
      </rPr>
      <t xml:space="preserve">Polestar SSI</t>
    </r>
    <r>
      <rPr>
        <sz val="9"/>
        <color rgb="FF1F2A30"/>
        <rFont val="Noto Sans CJK SC"/>
        <family val="2"/>
      </rPr>
      <t xml:space="preserve">（基准）</t>
    </r>
    <r>
      <rPr>
        <sz val="9"/>
        <color rgb="FF1F2A30"/>
        <rFont val="Arial"/>
        <family val="0"/>
        <charset val="1"/>
      </rPr>
      <t xml:space="preserve">· </t>
    </r>
    <r>
      <rPr>
        <sz val="9"/>
        <color rgb="FF1F2A30"/>
        <rFont val="Noto Sans CJK SC"/>
        <family val="2"/>
      </rPr>
      <t xml:space="preserve">小米</t>
    </r>
    <r>
      <rPr>
        <sz val="9"/>
        <color rgb="FF1F2A30"/>
        <rFont val="Arial"/>
        <family val="0"/>
        <charset val="1"/>
      </rPr>
      <t xml:space="preserve">(</t>
    </r>
    <r>
      <rPr>
        <sz val="9"/>
        <color rgb="FF1F2A30"/>
        <rFont val="Noto Sans CJK SC"/>
        <family val="2"/>
      </rPr>
      <t xml:space="preserve">周</t>
    </r>
    <r>
      <rPr>
        <sz val="9"/>
        <color rgb="FF1F2A30"/>
        <rFont val="Arial"/>
        <family val="0"/>
        <charset val="1"/>
      </rPr>
      <t xml:space="preserve">60h/</t>
    </r>
    <r>
      <rPr>
        <sz val="9"/>
        <color rgb="FF1F2A30"/>
        <rFont val="Noto Sans CJK SC"/>
        <family val="2"/>
      </rPr>
      <t xml:space="preserve">七休一</t>
    </r>
    <r>
      <rPr>
        <sz val="9"/>
        <color rgb="FF1F2A30"/>
        <rFont val="Arial"/>
        <family val="0"/>
        <charset val="1"/>
      </rPr>
      <t xml:space="preserve">/</t>
    </r>
    <r>
      <rPr>
        <sz val="9"/>
        <color rgb="FF1F2A30"/>
        <rFont val="Noto Sans CJK SC"/>
        <family val="2"/>
      </rPr>
      <t xml:space="preserve">禁扣薪</t>
    </r>
    <r>
      <rPr>
        <sz val="9"/>
        <color rgb="FF1F2A30"/>
        <rFont val="Arial"/>
        <family val="0"/>
        <charset val="1"/>
      </rPr>
      <t xml:space="preserve">)· </t>
    </r>
    <r>
      <rPr>
        <sz val="9"/>
        <color rgb="FF1F2A30"/>
        <rFont val="Noto Sans CJK SC"/>
        <family val="2"/>
      </rPr>
      <t xml:space="preserve">蔚来</t>
    </r>
    <r>
      <rPr>
        <sz val="9"/>
        <color rgb="FF1F2A30"/>
        <rFont val="Arial"/>
        <family val="0"/>
        <charset val="1"/>
      </rPr>
      <t xml:space="preserve">· </t>
    </r>
    <r>
      <rPr>
        <sz val="9"/>
        <color rgb="FF1F2A30"/>
        <rFont val="Noto Sans CJK SC"/>
        <family val="2"/>
      </rPr>
      <t xml:space="preserve">赛力斯</t>
    </r>
    <r>
      <rPr>
        <sz val="9"/>
        <color rgb="FF1F2A30"/>
        <rFont val="Arial"/>
        <family val="0"/>
        <charset val="1"/>
      </rPr>
      <t xml:space="preserve">(RBA</t>
    </r>
    <r>
      <rPr>
        <sz val="9"/>
        <color rgb="FF1F2A30"/>
        <rFont val="Noto Sans CJK SC"/>
        <family val="2"/>
      </rPr>
      <t xml:space="preserve">全套</t>
    </r>
    <r>
      <rPr>
        <sz val="9"/>
        <color rgb="FF1F2A30"/>
        <rFont val="Arial"/>
        <family val="0"/>
        <charset val="1"/>
      </rPr>
      <t xml:space="preserve">)· SAQ 5.0(</t>
    </r>
    <r>
      <rPr>
        <sz val="9"/>
        <color rgb="FF1F2A30"/>
        <rFont val="Noto Sans CJK SC"/>
        <family val="2"/>
      </rPr>
      <t xml:space="preserve">人权</t>
    </r>
    <r>
      <rPr>
        <sz val="9"/>
        <color rgb="FF1F2A30"/>
        <rFont val="Arial"/>
        <family val="0"/>
        <charset val="1"/>
      </rPr>
      <t xml:space="preserve">12</t>
    </r>
    <r>
      <rPr>
        <sz val="9"/>
        <color rgb="FF1F2A30"/>
        <rFont val="Noto Sans CJK SC"/>
        <family val="2"/>
      </rPr>
      <t xml:space="preserve">项</t>
    </r>
    <r>
      <rPr>
        <sz val="9"/>
        <color rgb="FF1F2A30"/>
        <rFont val="Arial"/>
        <family val="0"/>
        <charset val="1"/>
      </rPr>
      <t xml:space="preserve">)</t>
    </r>
  </si>
  <si>
    <t xml:space="preserve">工厂是否在其招聘程序无歧视的条款，包括国籍、肤色、信仰、性别、年龄等？</t>
  </si>
  <si>
    <t xml:space="preserve">Does the factory have non-discriminatory clauses in its recruitment procedures, including nationality, skin color, religion, sex, age, etc.?</t>
  </si>
  <si>
    <t xml:space="preserve">工厂是否有不强迫劳动的书面政策和预防强迫劳动措施？</t>
  </si>
  <si>
    <t xml:space="preserve">Does the factory have a written policy against forced labor and measures to prevent forced labor?</t>
  </si>
  <si>
    <r>
      <rPr>
        <sz val="9"/>
        <color rgb="FF1F2A30"/>
        <rFont val="Arial"/>
        <family val="0"/>
        <charset val="1"/>
      </rPr>
      <t xml:space="preserve">ILO definition of forced labor: all work or service which is exacted from any person under the threat of a penalty and for which the person has not offered himself or herself voluntarily / </t>
    </r>
    <r>
      <rPr>
        <sz val="9"/>
        <color rgb="FF1F2A30"/>
        <rFont val="Noto Sans CJK SC"/>
        <family val="2"/>
      </rPr>
      <t xml:space="preserve">强迫劳动的</t>
    </r>
    <r>
      <rPr>
        <sz val="9"/>
        <color rgb="FF1F2A30"/>
        <rFont val="Arial"/>
        <family val="0"/>
        <charset val="1"/>
      </rPr>
      <t xml:space="preserve">ILO</t>
    </r>
    <r>
      <rPr>
        <sz val="9"/>
        <color rgb="FF1F2A30"/>
        <rFont val="Noto Sans CJK SC"/>
        <family val="2"/>
      </rPr>
      <t xml:space="preserve">定义：一个人非自愿性工作或服务，包括所有以受到惩罚进行威胁的工作或服务。</t>
    </r>
  </si>
  <si>
    <t xml:space="preserve">工厂是否确保所有员工、派遣员工以及其他用工方式员工不包含监狱工？</t>
  </si>
  <si>
    <t xml:space="preserve">Does the factory ensure that all employees, workers from labor agencies, and workers employed through other methods do not include prison workers?</t>
  </si>
  <si>
    <t xml:space="preserve">工厂是否制定书面预防和处理骚扰，虐待，侮辱政策？</t>
  </si>
  <si>
    <t xml:space="preserve">Does the factory have a written policy to prevent and handle harassment, abuse, and insults?</t>
  </si>
  <si>
    <t xml:space="preserve">工厂是否有书面的反腐败条例？</t>
  </si>
  <si>
    <t xml:space="preserve">Does the factory have written anti-corruption policy?</t>
  </si>
  <si>
    <t xml:space="preserve">工厂是否有保障员工自由结社和签署集体谈判协议的权利的书面条款？</t>
  </si>
  <si>
    <t xml:space="preserve">Does the factory have written clauses to protect employees' freedom of association and freedom to sign collective bargaining agreements?</t>
  </si>
  <si>
    <t xml:space="preserve">工厂所有正式员工是否均按照当地法规要求签署书面的劳动合同？</t>
  </si>
  <si>
    <t xml:space="preserve">Have all permanent employees of the factory signed written labor contracts in accordance with local regulations?</t>
  </si>
  <si>
    <r>
      <rPr>
        <sz val="9"/>
        <color rgb="FF1F2A30"/>
        <rFont val="Arial"/>
        <family val="0"/>
        <charset val="1"/>
      </rPr>
      <t xml:space="preserve">If "Yes", please provide the number of people signed labor contracts in column L.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栏提供签署劳动合同的员工人数。</t>
    </r>
  </si>
  <si>
    <t xml:space="preserve">工厂有否确保所有员工、派遣员工以及其他用工方式员工工时符合所在国行业情况？</t>
  </si>
  <si>
    <t xml:space="preserve">Does the factory ensure that the working hours of all employees, workers from labor agencies, and workers employed through other methods are in line with the industrial practices in the country?</t>
  </si>
  <si>
    <r>
      <rPr>
        <sz val="9"/>
        <color rgb="FF1F2A30"/>
        <rFont val="Arial"/>
        <family val="0"/>
        <charset val="1"/>
      </rPr>
      <t xml:space="preserve">Please provide maximum working hour of local regulations in column L. / </t>
    </r>
    <r>
      <rPr>
        <sz val="9"/>
        <color rgb="FF1F2A30"/>
        <rFont val="Noto Sans CJK SC"/>
        <family val="2"/>
      </rPr>
      <t xml:space="preserve">请在</t>
    </r>
    <r>
      <rPr>
        <sz val="9"/>
        <color rgb="FF1F2A30"/>
        <rFont val="Arial"/>
        <family val="0"/>
        <charset val="1"/>
      </rPr>
      <t xml:space="preserve">L</t>
    </r>
    <r>
      <rPr>
        <sz val="9"/>
        <color rgb="FF1F2A30"/>
        <rFont val="Noto Sans CJK SC"/>
        <family val="2"/>
      </rPr>
      <t xml:space="preserve">栏提供当地法规要求的最大工时数。</t>
    </r>
  </si>
  <si>
    <t xml:space="preserve">工厂有否确保所有员工、派遣员工以及其他用工方式员工薪资水平不低于当地法规最低工资要求？</t>
  </si>
  <si>
    <t xml:space="preserve">Does the factory ensure that the wage level of all employees, workers from labor agencies, and workers employed through other methods is not lower than the minimum wage required by local regulations?</t>
  </si>
  <si>
    <t xml:space="preserve">工厂有否确保所有员工、派遣员工以及其他用工方式员工足额得到当地法规要求的加班工资？</t>
  </si>
  <si>
    <t xml:space="preserve">Does the factory ensure that all employees, dispatched employees, and other employment methods are paid in full for overtime work required by local regulations?</t>
  </si>
  <si>
    <r>
      <rPr>
        <sz val="9"/>
        <color rgb="FF1F2A30"/>
        <rFont val="Arial"/>
        <family val="0"/>
        <charset val="1"/>
      </rPr>
      <t xml:space="preserve">Please provide local overtime wage standards in column L. / </t>
    </r>
    <r>
      <rPr>
        <sz val="9"/>
        <color rgb="FF1F2A30"/>
        <rFont val="Noto Sans CJK SC"/>
        <family val="2"/>
      </rPr>
      <t xml:space="preserve">请在</t>
    </r>
    <r>
      <rPr>
        <sz val="9"/>
        <color rgb="FF1F2A30"/>
        <rFont val="Arial"/>
        <family val="0"/>
        <charset val="1"/>
      </rPr>
      <t xml:space="preserve">L</t>
    </r>
    <r>
      <rPr>
        <sz val="9"/>
        <color rgb="FF1F2A30"/>
        <rFont val="Noto Sans CJK SC"/>
        <family val="2"/>
      </rPr>
      <t xml:space="preserve">栏提供当地加班工资标准。</t>
    </r>
  </si>
  <si>
    <t xml:space="preserve">工厂有否确保所有员工、派遣员工以及其他用工方式员工按照当地法规要求享有请假的权利？</t>
  </si>
  <si>
    <t xml:space="preserve">Does the factory ensure that all employees, workers from labor agencies, and workers employed through other methods have the right to ask for leave in accordance with local regulations?</t>
  </si>
  <si>
    <t xml:space="preserve">工厂有否确保所有员工、派遣员工以及其他用工方式员工享受当地法规要求的社会保险或商业保险？</t>
  </si>
  <si>
    <t xml:space="preserve">Does the factory ensure that all employees, workers from labor agencies, and workers employed through other methods are entitled to social insurance or commercial insurance required by local regulations?</t>
  </si>
  <si>
    <t xml:space="preserve">工厂是否无扣除工资等惩罚性措施？</t>
  </si>
  <si>
    <t xml:space="preserve">Is the factory free of punitive measures such as wage deductions?</t>
  </si>
  <si>
    <r>
      <rPr>
        <sz val="9"/>
        <color rgb="FF1F2A30"/>
        <rFont val="Arial"/>
        <family val="0"/>
        <charset val="1"/>
      </rPr>
      <t xml:space="preserve">There is no such clause in the employee handbook and such measures have not been implemented in practice. / </t>
    </r>
    <r>
      <rPr>
        <sz val="9"/>
        <color rgb="FF1F2A30"/>
        <rFont val="Noto Sans CJK SC"/>
        <family val="2"/>
      </rPr>
      <t xml:space="preserve">员工手册无此类条款并且实际中未实施过此措施。</t>
    </r>
  </si>
  <si>
    <r>
      <rPr>
        <sz val="9"/>
        <color rgb="FF1F2A30"/>
        <rFont val="Noto Sans CJK SC"/>
        <family val="2"/>
      </rPr>
      <t xml:space="preserve">申诉机制 </t>
    </r>
    <r>
      <rPr>
        <sz val="9"/>
        <color rgb="FF1F2A30"/>
        <rFont val="Arial"/>
        <family val="0"/>
        <charset val="1"/>
      </rPr>
      <t xml:space="preserve">Grievance</t>
    </r>
  </si>
  <si>
    <t xml:space="preserve">是否建立向全体员工与商业伙伴开放的申诉机制，并配套不报复政策？</t>
  </si>
  <si>
    <t xml:space="preserve">Have you established a grievance mechanism open to all employees and business partners, with a non-retaliation policy?</t>
  </si>
  <si>
    <r>
      <rPr>
        <sz val="9"/>
        <color rgb="FF1F2A30"/>
        <rFont val="Arial"/>
        <family val="0"/>
        <charset val="1"/>
      </rPr>
      <t xml:space="preserve">Requirement</t>
    </r>
    <r>
      <rPr>
        <sz val="9"/>
        <color rgb="FF1F2A30"/>
        <rFont val="Noto Sans CJK SC"/>
        <family val="2"/>
      </rPr>
      <t xml:space="preserve">（</t>
    </r>
    <r>
      <rPr>
        <sz val="9"/>
        <color rgb="FF1F2A30"/>
        <rFont val="Arial"/>
        <family val="0"/>
        <charset val="1"/>
      </rPr>
      <t xml:space="preserve">#29, 2024</t>
    </r>
    <r>
      <rPr>
        <sz val="9"/>
        <color rgb="FF1F2A30"/>
        <rFont val="Noto Sans CJK SC"/>
        <family val="2"/>
      </rPr>
      <t xml:space="preserve">）。参考 </t>
    </r>
    <r>
      <rPr>
        <sz val="9"/>
        <color rgb="FF1F2A30"/>
        <rFont val="Arial"/>
        <family val="0"/>
        <charset val="1"/>
      </rPr>
      <t xml:space="preserve">SAQ 5.0 Q4a </t>
    </r>
    <r>
      <rPr>
        <sz val="9"/>
        <color rgb="FF1F2A30"/>
        <rFont val="Noto Sans CJK SC"/>
        <family val="2"/>
      </rPr>
      <t xml:space="preserve">申诉机制 </t>
    </r>
    <r>
      <rPr>
        <sz val="9"/>
        <color rgb="FF1F2A30"/>
        <rFont val="Arial"/>
        <family val="0"/>
        <charset val="1"/>
      </rPr>
      <t xml:space="preserve">11 </t>
    </r>
    <r>
      <rPr>
        <sz val="9"/>
        <color rgb="FF1F2A30"/>
        <rFont val="Noto Sans CJK SC"/>
        <family val="2"/>
      </rPr>
      <t xml:space="preserve">项特征（独立</t>
    </r>
    <r>
      <rPr>
        <sz val="9"/>
        <color rgb="FF1F2A30"/>
        <rFont val="Arial"/>
        <family val="0"/>
        <charset val="1"/>
      </rPr>
      <t xml:space="preserve">·</t>
    </r>
    <r>
      <rPr>
        <sz val="9"/>
        <color rgb="FF1F2A30"/>
        <rFont val="Noto Sans CJK SC"/>
        <family val="2"/>
      </rPr>
      <t xml:space="preserve">保密</t>
    </r>
    <r>
      <rPr>
        <sz val="9"/>
        <color rgb="FF1F2A30"/>
        <rFont val="Arial"/>
        <family val="0"/>
        <charset val="1"/>
      </rPr>
      <t xml:space="preserve">·</t>
    </r>
    <r>
      <rPr>
        <sz val="9"/>
        <color rgb="FF1F2A30"/>
        <rFont val="Noto Sans CJK SC"/>
        <family val="2"/>
      </rPr>
      <t xml:space="preserve">可匿名</t>
    </r>
    <r>
      <rPr>
        <sz val="9"/>
        <color rgb="FF1F2A30"/>
        <rFont val="Arial"/>
        <family val="0"/>
        <charset val="1"/>
      </rPr>
      <t xml:space="preserve">·</t>
    </r>
    <r>
      <rPr>
        <sz val="9"/>
        <color rgb="FF1F2A30"/>
        <rFont val="Noto Sans CJK SC"/>
        <family val="2"/>
      </rPr>
      <t xml:space="preserve">不报复</t>
    </r>
    <r>
      <rPr>
        <sz val="9"/>
        <color rgb="FF1F2A30"/>
        <rFont val="Arial"/>
        <family val="0"/>
        <charset val="1"/>
      </rPr>
      <t xml:space="preserve">·</t>
    </r>
    <r>
      <rPr>
        <sz val="9"/>
        <color rgb="FF1F2A30"/>
        <rFont val="Noto Sans CJK SC"/>
        <family val="2"/>
      </rPr>
      <t xml:space="preserve">年度评估，对标德国 </t>
    </r>
    <r>
      <rPr>
        <sz val="9"/>
        <color rgb="FF1F2A30"/>
        <rFont val="Arial"/>
        <family val="0"/>
        <charset val="1"/>
      </rPr>
      <t xml:space="preserve">LkSG §8</t>
    </r>
    <r>
      <rPr>
        <sz val="9"/>
        <color rgb="FF1F2A30"/>
        <rFont val="Noto Sans CJK SC"/>
        <family val="2"/>
      </rPr>
      <t xml:space="preserve">）。 </t>
    </r>
    <r>
      <rPr>
        <sz val="9"/>
        <color rgb="FF1F2A30"/>
        <rFont val="Arial"/>
        <family val="0"/>
        <charset val="1"/>
      </rPr>
      <t xml:space="preserve">/ Requirement (#29, 2024). Cf. SAQ 5.0 Q4a 11 grievance-mechanism characteristics.</t>
    </r>
  </si>
  <si>
    <r>
      <rPr>
        <sz val="9"/>
        <color rgb="FF1F2A30"/>
        <rFont val="Arial"/>
        <family val="0"/>
        <charset val="1"/>
      </rPr>
      <t xml:space="preserve">#29 </t>
    </r>
    <r>
      <rPr>
        <sz val="9"/>
        <color rgb="FF1F2A30"/>
        <rFont val="Noto Sans CJK SC"/>
        <family val="2"/>
      </rPr>
      <t xml:space="preserve">申诉机制与不报复</t>
    </r>
  </si>
  <si>
    <r>
      <rPr>
        <sz val="9"/>
        <color rgb="FF1F2A30"/>
        <rFont val="Arial"/>
        <family val="0"/>
        <charset val="1"/>
      </rPr>
      <t xml:space="preserve">Autoliv </t>
    </r>
    <r>
      <rPr>
        <sz val="9"/>
        <color rgb="FF1F2A30"/>
        <rFont val="Noto Sans CJK SC"/>
        <family val="2"/>
      </rPr>
      <t xml:space="preserve">采购要求 </t>
    </r>
    <r>
      <rPr>
        <sz val="9"/>
        <color rgb="FF1F2A30"/>
        <rFont val="Arial"/>
        <family val="0"/>
        <charset val="1"/>
      </rPr>
      <t xml:space="preserve">#29 · SAQ 5.0 Q4a · </t>
    </r>
    <r>
      <rPr>
        <sz val="9"/>
        <color rgb="FF1F2A30"/>
        <rFont val="Noto Sans CJK SC"/>
        <family val="2"/>
      </rPr>
      <t xml:space="preserve">德国 </t>
    </r>
    <r>
      <rPr>
        <sz val="9"/>
        <color rgb="FF1F2A30"/>
        <rFont val="Arial"/>
        <family val="0"/>
        <charset val="1"/>
      </rPr>
      <t xml:space="preserve">LkSG §8</t>
    </r>
  </si>
  <si>
    <r>
      <rPr>
        <sz val="9"/>
        <color rgb="FF1F2A30"/>
        <rFont val="Noto Sans CJK SC"/>
        <family val="2"/>
      </rPr>
      <t xml:space="preserve">是否有经第三方认证的</t>
    </r>
    <r>
      <rPr>
        <sz val="9"/>
        <color rgb="FF1F2A30"/>
        <rFont val="Arial"/>
        <family val="0"/>
        <charset val="1"/>
      </rPr>
      <t xml:space="preserve">ISO14000</t>
    </r>
    <r>
      <rPr>
        <sz val="9"/>
        <color rgb="FF1F2A30"/>
        <rFont val="Noto Sans CJK SC"/>
        <family val="2"/>
      </rPr>
      <t xml:space="preserve">环境管理体系？</t>
    </r>
  </si>
  <si>
    <t xml:space="preserve">Do you have ISO14000 environmental management system certified by a third party?</t>
  </si>
  <si>
    <r>
      <rPr>
        <sz val="9"/>
        <color rgb="FF1F2A30"/>
        <rFont val="Arial"/>
        <family val="0"/>
        <charset val="1"/>
      </rPr>
      <t xml:space="preserve">#28 </t>
    </r>
    <r>
      <rPr>
        <sz val="9"/>
        <color rgb="FF1F2A30"/>
        <rFont val="Noto Sans CJK SC"/>
        <family val="2"/>
      </rPr>
      <t xml:space="preserve">环境管理体系</t>
    </r>
  </si>
  <si>
    <r>
      <rPr>
        <sz val="9"/>
        <color rgb="FF1F2A30"/>
        <rFont val="Noto Sans CJK SC"/>
        <family val="2"/>
      </rPr>
      <t xml:space="preserve">是否有绿色建筑认证</t>
    </r>
    <r>
      <rPr>
        <sz val="9"/>
        <color rgb="FF1F2A30"/>
        <rFont val="Arial"/>
        <family val="0"/>
        <charset val="1"/>
      </rPr>
      <t xml:space="preserve">?</t>
    </r>
  </si>
  <si>
    <t xml:space="preserve">Do you have a green building certification?</t>
  </si>
  <si>
    <r>
      <rPr>
        <sz val="9"/>
        <color rgb="FF1F2A30"/>
        <rFont val="Arial"/>
        <family val="0"/>
        <charset val="1"/>
      </rPr>
      <t xml:space="preserve">If “Yes", please provide in column L: (1) certified building; (2) certification system and level.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t>
    </r>
    <r>
      <rPr>
        <sz val="9"/>
        <color rgb="FF1F2A30"/>
        <rFont val="Arial"/>
        <family val="0"/>
        <charset val="1"/>
      </rPr>
      <t xml:space="preserve">(1)</t>
    </r>
    <r>
      <rPr>
        <sz val="9"/>
        <color rgb="FF1F2A30"/>
        <rFont val="Noto Sans CJK SC"/>
        <family val="2"/>
      </rPr>
      <t xml:space="preserve">获得认证的建筑；</t>
    </r>
    <r>
      <rPr>
        <sz val="9"/>
        <color rgb="FF1F2A30"/>
        <rFont val="Arial"/>
        <family val="0"/>
        <charset val="1"/>
      </rPr>
      <t xml:space="preserve">(2)</t>
    </r>
    <r>
      <rPr>
        <sz val="9"/>
        <color rgb="FF1F2A30"/>
        <rFont val="Noto Sans CJK SC"/>
        <family val="2"/>
      </rPr>
      <t xml:space="preserve">采用的认证体系以及认证级别</t>
    </r>
  </si>
  <si>
    <t xml:space="preserve">是否实施了余热回收解决方案</t>
  </si>
  <si>
    <t xml:space="preserve">Are any residual heat reuse solutions implemented?</t>
  </si>
  <si>
    <r>
      <rPr>
        <sz val="9"/>
        <color rgb="FF1F2A30"/>
        <rFont val="Arial"/>
        <family val="0"/>
        <charset val="1"/>
      </rPr>
      <t xml:space="preserve">Please list used solutions and estimated reduction of energy consumption. / </t>
    </r>
    <r>
      <rPr>
        <sz val="9"/>
        <color rgb="FF1F2A30"/>
        <rFont val="Noto Sans CJK SC"/>
        <family val="2"/>
      </rPr>
      <t xml:space="preserve">请列出余热回收方案和能耗降幅</t>
    </r>
  </si>
  <si>
    <r>
      <rPr>
        <sz val="9"/>
        <color rgb="FF1F2A30"/>
        <rFont val="Noto Sans CJK SC"/>
        <family val="2"/>
      </rPr>
      <t xml:space="preserve">常规</t>
    </r>
    <r>
      <rPr>
        <sz val="9"/>
        <color rgb="FF1F2A30"/>
        <rFont val="Arial"/>
        <family val="0"/>
        <charset val="1"/>
      </rPr>
      <t xml:space="preserve">EHS</t>
    </r>
    <r>
      <rPr>
        <sz val="9"/>
        <color rgb="FF1F2A30"/>
        <rFont val="Noto Sans CJK SC"/>
        <family val="2"/>
      </rPr>
      <t xml:space="preserve">要求</t>
    </r>
  </si>
  <si>
    <r>
      <rPr>
        <sz val="9"/>
        <color rgb="FF1F2A30"/>
        <rFont val="Noto Sans CJK SC"/>
        <family val="2"/>
      </rPr>
      <t xml:space="preserve">工厂是否持有法规要求的</t>
    </r>
    <r>
      <rPr>
        <sz val="9"/>
        <color rgb="FF1F2A30"/>
        <rFont val="Arial"/>
        <family val="0"/>
        <charset val="1"/>
      </rPr>
      <t xml:space="preserve">EHS</t>
    </r>
    <r>
      <rPr>
        <sz val="9"/>
        <color rgb="FF1F2A30"/>
        <rFont val="Noto Sans CJK SC"/>
        <family val="2"/>
      </rPr>
      <t xml:space="preserve">证照齐全且在有效期内？</t>
    </r>
  </si>
  <si>
    <t xml:space="preserve">Does the factory hold all the required EHS licenses within the validity period?</t>
  </si>
  <si>
    <r>
      <rPr>
        <sz val="9"/>
        <color rgb="FF1F2A30"/>
        <rFont val="Arial"/>
        <family val="0"/>
        <charset val="1"/>
      </rPr>
      <t xml:space="preserve">Please provide the name of EHS license in column L. / If "Yes", please describe in column L the specific information including the EHS licenses required for the whole life cycle of factory, e.g. before the establishment of factory, during the operation period. / </t>
    </r>
    <r>
      <rPr>
        <sz val="9"/>
        <color rgb="FF1F2A30"/>
        <rFont val="Noto Sans CJK SC"/>
        <family val="2"/>
      </rPr>
      <t xml:space="preserve">请在</t>
    </r>
    <r>
      <rPr>
        <sz val="9"/>
        <color rgb="FF1F2A30"/>
        <rFont val="Arial"/>
        <family val="0"/>
        <charset val="1"/>
      </rPr>
      <t xml:space="preserve">L</t>
    </r>
    <r>
      <rPr>
        <sz val="9"/>
        <color rgb="FF1F2A30"/>
        <rFont val="Noto Sans CJK SC"/>
        <family val="2"/>
      </rPr>
      <t xml:space="preserve">栏提供当地</t>
    </r>
    <r>
      <rPr>
        <sz val="9"/>
        <color rgb="FF1F2A30"/>
        <rFont val="Arial"/>
        <family val="0"/>
        <charset val="1"/>
      </rPr>
      <t xml:space="preserve">EHS</t>
    </r>
    <r>
      <rPr>
        <sz val="9"/>
        <color rgb="FF1F2A30"/>
        <rFont val="Noto Sans CJK SC"/>
        <family val="2"/>
      </rPr>
      <t xml:space="preserve">证照的名称；如果‘是’，请在</t>
    </r>
    <r>
      <rPr>
        <sz val="9"/>
        <color rgb="FF1F2A30"/>
        <rFont val="Arial"/>
        <family val="0"/>
        <charset val="1"/>
      </rPr>
      <t xml:space="preserve">L</t>
    </r>
    <r>
      <rPr>
        <sz val="9"/>
        <color rgb="FF1F2A30"/>
        <rFont val="Noto Sans CJK SC"/>
        <family val="2"/>
      </rPr>
      <t xml:space="preserve">栏提供具体信息。 </t>
    </r>
    <r>
      <rPr>
        <sz val="9"/>
        <color rgb="FF1F2A30"/>
        <rFont val="Arial"/>
        <family val="0"/>
        <charset val="1"/>
      </rPr>
      <t xml:space="preserve">/ </t>
    </r>
    <r>
      <rPr>
        <sz val="9"/>
        <color rgb="FF1F2A30"/>
        <rFont val="Noto Sans CJK SC"/>
        <family val="2"/>
      </rPr>
      <t xml:space="preserve">包括工厂生命周期需要的</t>
    </r>
    <r>
      <rPr>
        <sz val="9"/>
        <color rgb="FF1F2A30"/>
        <rFont val="Arial"/>
        <family val="0"/>
        <charset val="1"/>
      </rPr>
      <t xml:space="preserve">EHS</t>
    </r>
    <r>
      <rPr>
        <sz val="9"/>
        <color rgb="FF1F2A30"/>
        <rFont val="Noto Sans CJK SC"/>
        <family val="2"/>
      </rPr>
      <t xml:space="preserve">证照，例如建厂前、运营期。</t>
    </r>
  </si>
  <si>
    <r>
      <rPr>
        <sz val="9"/>
        <color rgb="FF1F2A30"/>
        <rFont val="Arial"/>
        <family val="0"/>
        <charset val="1"/>
      </rPr>
      <t xml:space="preserve">#28 EHS </t>
    </r>
    <r>
      <rPr>
        <sz val="9"/>
        <color rgb="FF1F2A30"/>
        <rFont val="Noto Sans CJK SC"/>
        <family val="2"/>
      </rPr>
      <t xml:space="preserve">常规要求</t>
    </r>
  </si>
  <si>
    <t xml:space="preserve">工厂是否按照其环境许可证定期监测其水气声的排放并确保其达标？</t>
  </si>
  <si>
    <t xml:space="preserve">Does the factory regularly monitor the water, air and noise emissions in accordance with its environmental permit and ensure the emissions meet the standards?</t>
  </si>
  <si>
    <r>
      <rPr>
        <sz val="9"/>
        <color rgb="FF1F2A30"/>
        <rFont val="Arial"/>
        <family val="0"/>
        <charset val="1"/>
      </rPr>
      <t xml:space="preserve">If "Yes", please describe in column L the specific frequency of monitoring and the latest monitoring date. / If monitoring is not required in accordance with the environmental permit, self monitoring and ensure it is complied with standards is enough.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栏提供具体频次和最近一次审核的日期。 </t>
    </r>
    <r>
      <rPr>
        <sz val="9"/>
        <color rgb="FF1F2A30"/>
        <rFont val="Arial"/>
        <family val="0"/>
        <charset val="1"/>
      </rPr>
      <t xml:space="preserve">/ </t>
    </r>
    <r>
      <rPr>
        <sz val="9"/>
        <color rgb="FF1F2A30"/>
        <rFont val="Noto Sans CJK SC"/>
        <family val="2"/>
      </rPr>
      <t xml:space="preserve">如环境许可证无要求，自行监测并确保达标亦可。</t>
    </r>
  </si>
  <si>
    <t xml:space="preserve">工厂是否近三年无违法、经营异常和行政处罚记录？</t>
  </si>
  <si>
    <t xml:space="preserve">Has the factory been operated without any records of violations of laws, business abnormalities and administrative penalties in the past three years?</t>
  </si>
  <si>
    <t xml:space="preserve">工厂是否近三年无安全、环保、质量等导致重大人员伤亡或者造成重大财产损失的事件和事故？</t>
  </si>
  <si>
    <t xml:space="preserve">Has the factory been free from incidents or accidents  major causalities or major property losses cause by safety, environmental protection and quality issues in the past three years?</t>
  </si>
  <si>
    <r>
      <rPr>
        <sz val="9"/>
        <color rgb="FF1F2A30"/>
        <rFont val="Arial"/>
        <family val="0"/>
        <charset val="1"/>
      </rPr>
      <t xml:space="preserve">Accidents in operation safety, fires, explosions, unplanned pollutant discharge, chemical/waste emissions and etc. / </t>
    </r>
    <r>
      <rPr>
        <sz val="9"/>
        <color rgb="FF1F2A30"/>
        <rFont val="Noto Sans CJK SC"/>
        <family val="2"/>
      </rPr>
      <t xml:space="preserve">安全生产事故、火灾、爆炸、非计划污染物排放、化学品</t>
    </r>
    <r>
      <rPr>
        <sz val="9"/>
        <color rgb="FF1F2A30"/>
        <rFont val="Arial"/>
        <family val="0"/>
        <charset val="1"/>
      </rPr>
      <t xml:space="preserve">/</t>
    </r>
    <r>
      <rPr>
        <sz val="9"/>
        <color rgb="FF1F2A30"/>
        <rFont val="Noto Sans CJK SC"/>
        <family val="2"/>
      </rPr>
      <t xml:space="preserve">废物泄露等。</t>
    </r>
  </si>
  <si>
    <r>
      <rPr>
        <sz val="9"/>
        <color rgb="FF1F2A30"/>
        <rFont val="Noto Sans CJK SC"/>
        <family val="2"/>
      </rPr>
      <t xml:space="preserve">工厂是否在</t>
    </r>
    <r>
      <rPr>
        <sz val="9"/>
        <color rgb="FF1F2A30"/>
        <rFont val="Arial"/>
        <family val="0"/>
        <charset val="1"/>
      </rPr>
      <t xml:space="preserve">NGO</t>
    </r>
    <r>
      <rPr>
        <sz val="9"/>
        <color rgb="FF1F2A30"/>
        <rFont val="Noto Sans CJK SC"/>
        <family val="2"/>
      </rPr>
      <t xml:space="preserve">网站上无未整改的负面记录？</t>
    </r>
  </si>
  <si>
    <t xml:space="preserve">Is the factory free from negative records that have not been rectified on the NGO website?</t>
  </si>
  <si>
    <r>
      <rPr>
        <sz val="9"/>
        <color rgb="FF1F2A30"/>
        <rFont val="Noto Sans CJK SC"/>
        <family val="2"/>
      </rPr>
      <t xml:space="preserve">工厂是否有效实施</t>
    </r>
    <r>
      <rPr>
        <sz val="9"/>
        <color rgb="FF1F2A30"/>
        <rFont val="Arial"/>
        <family val="0"/>
        <charset val="1"/>
      </rPr>
      <t xml:space="preserve">COVID-19</t>
    </r>
    <r>
      <rPr>
        <sz val="9"/>
        <color rgb="FF1F2A30"/>
        <rFont val="Noto Sans CJK SC"/>
        <family val="2"/>
      </rPr>
      <t xml:space="preserve">相关防疫措施？</t>
    </r>
  </si>
  <si>
    <t xml:space="preserve">Does the factory effectively implement COVID-19 related epidemic prevention measures?</t>
  </si>
  <si>
    <r>
      <rPr>
        <sz val="9"/>
        <color rgb="FF1F2A30"/>
        <rFont val="Noto Sans CJK SC"/>
        <family val="2"/>
      </rPr>
      <t xml:space="preserve">工厂是否建立职业健康安全（</t>
    </r>
    <r>
      <rPr>
        <sz val="9"/>
        <color rgb="FF1F2A30"/>
        <rFont val="Arial"/>
        <family val="0"/>
        <charset val="1"/>
      </rPr>
      <t xml:space="preserve">H&amp;S</t>
    </r>
    <r>
      <rPr>
        <sz val="9"/>
        <color rgb="FF1F2A30"/>
        <rFont val="Noto Sans CJK SC"/>
        <family val="2"/>
      </rPr>
      <t xml:space="preserve">）管理体系（优先 </t>
    </r>
    <r>
      <rPr>
        <sz val="9"/>
        <color rgb="FF1F2A30"/>
        <rFont val="Arial"/>
        <family val="0"/>
        <charset val="1"/>
      </rPr>
      <t xml:space="preserve">ISO 45001</t>
    </r>
    <r>
      <rPr>
        <sz val="9"/>
        <color rgb="FF1F2A30"/>
        <rFont val="Noto Sans CJK SC"/>
        <family val="2"/>
      </rPr>
      <t xml:space="preserve">），政策至少涵盖 </t>
    </r>
    <r>
      <rPr>
        <sz val="9"/>
        <color rgb="FF1F2A30"/>
        <rFont val="Arial"/>
        <family val="0"/>
        <charset val="1"/>
      </rPr>
      <t xml:space="preserve">PPE/</t>
    </r>
    <r>
      <rPr>
        <sz val="9"/>
        <color rgb="FF1F2A30"/>
        <rFont val="Noto Sans CJK SC"/>
        <family val="2"/>
      </rPr>
      <t xml:space="preserve">机械安全</t>
    </r>
    <r>
      <rPr>
        <sz val="9"/>
        <color rgb="FF1F2A30"/>
        <rFont val="Arial"/>
        <family val="0"/>
        <charset val="1"/>
      </rPr>
      <t xml:space="preserve">/</t>
    </r>
    <r>
      <rPr>
        <sz val="9"/>
        <color rgb="FF1F2A30"/>
        <rFont val="Noto Sans CJK SC"/>
        <family val="2"/>
      </rPr>
      <t xml:space="preserve">应急</t>
    </r>
    <r>
      <rPr>
        <sz val="9"/>
        <color rgb="FF1F2A30"/>
        <rFont val="Arial"/>
        <family val="0"/>
        <charset val="1"/>
      </rPr>
      <t xml:space="preserve">/</t>
    </r>
    <r>
      <rPr>
        <sz val="9"/>
        <color rgb="FF1F2A30"/>
        <rFont val="Noto Sans CJK SC"/>
        <family val="2"/>
      </rPr>
      <t xml:space="preserve">事故管理</t>
    </r>
    <r>
      <rPr>
        <sz val="9"/>
        <color rgb="FF1F2A30"/>
        <rFont val="Arial"/>
        <family val="0"/>
        <charset val="1"/>
      </rPr>
      <t xml:space="preserve">/</t>
    </r>
    <r>
      <rPr>
        <sz val="9"/>
        <color rgb="FF1F2A30"/>
        <rFont val="Noto Sans CJK SC"/>
        <family val="2"/>
      </rPr>
      <t xml:space="preserve">人机工程</t>
    </r>
    <r>
      <rPr>
        <sz val="9"/>
        <color rgb="FF1F2A30"/>
        <rFont val="Arial"/>
        <family val="0"/>
        <charset val="1"/>
      </rPr>
      <t xml:space="preserve">/</t>
    </r>
    <r>
      <rPr>
        <sz val="9"/>
        <color rgb="FF1F2A30"/>
        <rFont val="Noto Sans CJK SC"/>
        <family val="2"/>
      </rPr>
      <t xml:space="preserve">化学品</t>
    </r>
    <r>
      <rPr>
        <sz val="9"/>
        <color rgb="FF1F2A30"/>
        <rFont val="Arial"/>
        <family val="0"/>
        <charset val="1"/>
      </rPr>
      <t xml:space="preserve">/</t>
    </r>
    <r>
      <rPr>
        <sz val="9"/>
        <color rgb="FF1F2A30"/>
        <rFont val="Noto Sans CJK SC"/>
        <family val="2"/>
      </rPr>
      <t xml:space="preserve">消防</t>
    </r>
    <r>
      <rPr>
        <sz val="9"/>
        <color rgb="FF1F2A30"/>
        <rFont val="Arial"/>
        <family val="0"/>
        <charset val="1"/>
      </rPr>
      <t xml:space="preserve">/</t>
    </r>
    <r>
      <rPr>
        <sz val="9"/>
        <color rgb="FF1F2A30"/>
        <rFont val="Noto Sans CJK SC"/>
        <family val="2"/>
      </rPr>
      <t xml:space="preserve">培训 </t>
    </r>
    <r>
      <rPr>
        <sz val="9"/>
        <color rgb="FF1F2A30"/>
        <rFont val="Arial"/>
        <family val="0"/>
        <charset val="1"/>
      </rPr>
      <t xml:space="preserve">8 </t>
    </r>
    <r>
      <rPr>
        <sz val="9"/>
        <color rgb="FF1F2A30"/>
        <rFont val="Noto Sans CJK SC"/>
        <family val="2"/>
      </rPr>
      <t xml:space="preserve">要素，并覆盖分包商？</t>
    </r>
  </si>
  <si>
    <t xml:space="preserve">Does the factory have an H&amp;S management system (preferably ISO 45001) whose policy covers at least the 8 elements — PPE / machine safety / emergency / incident management / ergonomics / chemicals / fire / training — and covers subcontractors?</t>
  </si>
  <si>
    <r>
      <rPr>
        <sz val="9"/>
        <color rgb="FF1F2A30"/>
        <rFont val="Noto Sans CJK SC"/>
        <family val="2"/>
      </rPr>
      <t xml:space="preserve">对齐 </t>
    </r>
    <r>
      <rPr>
        <sz val="9"/>
        <color rgb="FF1F2A30"/>
        <rFont val="Arial"/>
        <family val="0"/>
        <charset val="1"/>
      </rPr>
      <t xml:space="preserve">Autoliv </t>
    </r>
    <r>
      <rPr>
        <sz val="9"/>
        <color rgb="FF1F2A30"/>
        <rFont val="Noto Sans CJK SC"/>
        <family val="2"/>
      </rPr>
      <t xml:space="preserve">采购要求 </t>
    </r>
    <r>
      <rPr>
        <sz val="9"/>
        <color rgb="FF1F2A30"/>
        <rFont val="Arial"/>
        <family val="0"/>
        <charset val="1"/>
      </rPr>
      <t xml:space="preserve">#28</t>
    </r>
    <r>
      <rPr>
        <sz val="9"/>
        <color rgb="FF1F2A30"/>
        <rFont val="Noto Sans CJK SC"/>
        <family val="2"/>
      </rPr>
      <t xml:space="preserve">（</t>
    </r>
    <r>
      <rPr>
        <sz val="9"/>
        <color rgb="FF1F2A30"/>
        <rFont val="Arial"/>
        <family val="0"/>
        <charset val="1"/>
      </rPr>
      <t xml:space="preserve">Requirement</t>
    </r>
    <r>
      <rPr>
        <sz val="9"/>
        <color rgb="FF1F2A30"/>
        <rFont val="Noto Sans CJK SC"/>
        <family val="2"/>
      </rPr>
      <t xml:space="preserve">）。 </t>
    </r>
    <r>
      <rPr>
        <sz val="9"/>
        <color rgb="FF1F2A30"/>
        <rFont val="Arial"/>
        <family val="0"/>
        <charset val="1"/>
      </rPr>
      <t xml:space="preserve">/ Aligns to Autoliv sourcing requirement #28 (Requirement).</t>
    </r>
  </si>
  <si>
    <r>
      <rPr>
        <sz val="9"/>
        <color rgb="FF1F2A30"/>
        <rFont val="Noto Sans CJK SC"/>
        <family val="2"/>
      </rPr>
      <t xml:space="preserve">工厂的</t>
    </r>
    <r>
      <rPr>
        <sz val="9"/>
        <color rgb="FF1F2A30"/>
        <rFont val="Arial"/>
        <family val="0"/>
        <charset val="1"/>
      </rPr>
      <t xml:space="preserve">H&amp;S</t>
    </r>
    <r>
      <rPr>
        <sz val="9"/>
        <color rgb="FF1F2A30"/>
        <rFont val="Noto Sans CJK SC"/>
        <family val="2"/>
      </rPr>
      <t xml:space="preserve">管理体系是否经过认证？</t>
    </r>
  </si>
  <si>
    <t xml:space="preserve">Is the factory's H&amp;S management system certified?</t>
  </si>
  <si>
    <r>
      <rPr>
        <sz val="9"/>
        <color rgb="FF1F2A30"/>
        <rFont val="Arial"/>
        <family val="0"/>
        <charset val="1"/>
      </rPr>
      <t xml:space="preserve">If "Yes", please describe in column L the specific information / e.g.ISO45001 or OHSAS 18001.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栏提供具体信息。 </t>
    </r>
    <r>
      <rPr>
        <sz val="9"/>
        <color rgb="FF1F2A30"/>
        <rFont val="Arial"/>
        <family val="0"/>
        <charset val="1"/>
      </rPr>
      <t xml:space="preserve">/ </t>
    </r>
    <r>
      <rPr>
        <sz val="9"/>
        <color rgb="FF1F2A30"/>
        <rFont val="Noto Sans CJK SC"/>
        <family val="2"/>
      </rPr>
      <t xml:space="preserve">例如，</t>
    </r>
    <r>
      <rPr>
        <sz val="9"/>
        <color rgb="FF1F2A30"/>
        <rFont val="Arial"/>
        <family val="0"/>
        <charset val="1"/>
      </rPr>
      <t xml:space="preserve">ISO45001, </t>
    </r>
    <r>
      <rPr>
        <sz val="9"/>
        <color rgb="FF1F2A30"/>
        <rFont val="Noto Sans CJK SC"/>
        <family val="2"/>
      </rPr>
      <t xml:space="preserve">或者</t>
    </r>
    <r>
      <rPr>
        <sz val="9"/>
        <color rgb="FF1F2A30"/>
        <rFont val="Arial"/>
        <family val="0"/>
        <charset val="1"/>
      </rPr>
      <t xml:space="preserve">OHSAS 18001</t>
    </r>
  </si>
  <si>
    <t xml:space="preserve">工厂是否有事故汇报记录调查和跟踪程序？</t>
  </si>
  <si>
    <t xml:space="preserve">Does the factory have procedures for reporting, investigating and tracking incidents?</t>
  </si>
  <si>
    <t xml:space="preserve">工厂是否有进行工业卫生检测和职业健康体检？</t>
  </si>
  <si>
    <t xml:space="preserve">Does the factory conduct industrial hygiene inspections and occupational health examinations?</t>
  </si>
  <si>
    <r>
      <rPr>
        <sz val="9"/>
        <color rgb="FF1F2A30"/>
        <rFont val="Arial"/>
        <family val="0"/>
        <charset val="1"/>
      </rPr>
      <t xml:space="preserve">If "Yes", please describe in column L: (1)  specific frequency and (2) latest date of industrial hygiene inspections and occupational health examinations.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栏描述：</t>
    </r>
    <r>
      <rPr>
        <sz val="9"/>
        <color rgb="FF1F2A30"/>
        <rFont val="Arial"/>
        <family val="0"/>
        <charset val="1"/>
      </rPr>
      <t xml:space="preserve">(1)</t>
    </r>
    <r>
      <rPr>
        <sz val="9"/>
        <color rgb="FF1F2A30"/>
        <rFont val="Noto Sans CJK SC"/>
        <family val="2"/>
      </rPr>
      <t xml:space="preserve">工业卫生检测和职业健康体检供具体频次；</t>
    </r>
    <r>
      <rPr>
        <sz val="9"/>
        <color rgb="FF1F2A30"/>
        <rFont val="Arial"/>
        <family val="0"/>
        <charset val="1"/>
      </rPr>
      <t xml:space="preserve">(2)</t>
    </r>
    <r>
      <rPr>
        <sz val="9"/>
        <color rgb="FF1F2A30"/>
        <rFont val="Noto Sans CJK SC"/>
        <family val="2"/>
      </rPr>
      <t xml:space="preserve">工业卫生检测和职业健康体检最近一次的日期。</t>
    </r>
  </si>
  <si>
    <t xml:space="preserve">工厂是否无员工职业病案例？</t>
  </si>
  <si>
    <t xml:space="preserve">Is the factory free from case of employee occupational disease?</t>
  </si>
  <si>
    <r>
      <rPr>
        <sz val="9"/>
        <color rgb="FF1F2A30"/>
        <rFont val="Arial"/>
        <family val="0"/>
        <charset val="1"/>
      </rPr>
      <t xml:space="preserve">If "No", please provide disease type and the respective number of employees in column L. / </t>
    </r>
    <r>
      <rPr>
        <sz val="9"/>
        <color rgb="FF1F2A30"/>
        <rFont val="Noto Sans CJK SC"/>
        <family val="2"/>
      </rPr>
      <t xml:space="preserve">如果</t>
    </r>
    <r>
      <rPr>
        <sz val="9"/>
        <color rgb="FF1F2A30"/>
        <rFont val="Arial"/>
        <family val="0"/>
        <charset val="1"/>
      </rPr>
      <t xml:space="preserve">"</t>
    </r>
    <r>
      <rPr>
        <sz val="9"/>
        <color rgb="FF1F2A30"/>
        <rFont val="Noto Sans CJK SC"/>
        <family val="2"/>
      </rPr>
      <t xml:space="preserve">否</t>
    </r>
    <r>
      <rPr>
        <sz val="9"/>
        <color rgb="FF1F2A30"/>
        <rFont val="Arial"/>
        <family val="0"/>
        <charset val="1"/>
      </rPr>
      <t xml:space="preserve">"</t>
    </r>
    <r>
      <rPr>
        <sz val="9"/>
        <color rgb="FF1F2A30"/>
        <rFont val="Noto Sans CJK SC"/>
        <family val="2"/>
      </rPr>
      <t xml:space="preserve">， 请在</t>
    </r>
    <r>
      <rPr>
        <sz val="9"/>
        <color rgb="FF1F2A30"/>
        <rFont val="Arial"/>
        <family val="0"/>
        <charset val="1"/>
      </rPr>
      <t xml:space="preserve">L</t>
    </r>
    <r>
      <rPr>
        <sz val="9"/>
        <color rgb="FF1F2A30"/>
        <rFont val="Noto Sans CJK SC"/>
        <family val="2"/>
      </rPr>
      <t xml:space="preserve">栏提供职业病种类及人数。</t>
    </r>
  </si>
  <si>
    <t xml:space="preserve">工厂的建筑物是否有建筑安全许可证或检验报告？</t>
  </si>
  <si>
    <t xml:space="preserve">Does buildings in the factory have a construction safety permit or building safety inspection report?</t>
  </si>
  <si>
    <r>
      <rPr>
        <sz val="9"/>
        <color rgb="FF1F2A30"/>
        <rFont val="Arial"/>
        <family val="0"/>
        <charset val="1"/>
      </rPr>
      <t xml:space="preserve">If "Yes", please describe in column L the provide specific information. / e.g. Certificates or licenses issued by government or the inspection reports issued by the third-party agencies.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栏提供具体信息。 </t>
    </r>
    <r>
      <rPr>
        <sz val="9"/>
        <color rgb="FF1F2A30"/>
        <rFont val="Arial"/>
        <family val="0"/>
        <charset val="1"/>
      </rPr>
      <t xml:space="preserve">/ </t>
    </r>
    <r>
      <rPr>
        <sz val="9"/>
        <color rgb="FF1F2A30"/>
        <rFont val="Noto Sans CJK SC"/>
        <family val="2"/>
      </rPr>
      <t xml:space="preserve">政府部门颁发的证照，或者第三方机构出具的检验合格报告。</t>
    </r>
  </si>
  <si>
    <t xml:space="preserve">工厂建筑物是否有消防许可证或检验报告？</t>
  </si>
  <si>
    <t xml:space="preserve">Does buildings in the factory have a fire permit or building fire fighting inspection report?</t>
  </si>
  <si>
    <r>
      <rPr>
        <sz val="9"/>
        <color rgb="FF1F2A30"/>
        <rFont val="Arial"/>
        <family val="0"/>
        <charset val="1"/>
      </rPr>
      <t xml:space="preserve">If "Yes", please describe in column L the provide specific information. / Certificates or licenses issued by government or the inspection reports issued by the third-party agencies. / </t>
    </r>
    <r>
      <rPr>
        <sz val="9"/>
        <color rgb="FF1F2A30"/>
        <rFont val="Noto Sans CJK SC"/>
        <family val="2"/>
      </rPr>
      <t xml:space="preserve">如果‘是’，请在</t>
    </r>
    <r>
      <rPr>
        <sz val="9"/>
        <color rgb="FF1F2A30"/>
        <rFont val="Arial"/>
        <family val="0"/>
        <charset val="1"/>
      </rPr>
      <t xml:space="preserve">L</t>
    </r>
    <r>
      <rPr>
        <sz val="9"/>
        <color rgb="FF1F2A30"/>
        <rFont val="Noto Sans CJK SC"/>
        <family val="2"/>
      </rPr>
      <t xml:space="preserve">栏提供具体信息。 </t>
    </r>
    <r>
      <rPr>
        <sz val="9"/>
        <color rgb="FF1F2A30"/>
        <rFont val="Arial"/>
        <family val="0"/>
        <charset val="1"/>
      </rPr>
      <t xml:space="preserve">/ </t>
    </r>
    <r>
      <rPr>
        <sz val="9"/>
        <color rgb="FF1F2A30"/>
        <rFont val="Noto Sans CJK SC"/>
        <family val="2"/>
      </rPr>
      <t xml:space="preserve">政府部门颁发的证照，或者第三方机构出具的检验合格报告。</t>
    </r>
  </si>
  <si>
    <r>
      <rPr>
        <sz val="9"/>
        <color rgb="FF1F2A30"/>
        <rFont val="Arial"/>
        <family val="0"/>
        <charset val="1"/>
      </rPr>
      <t xml:space="preserve">P6 </t>
    </r>
    <r>
      <rPr>
        <sz val="9"/>
        <color rgb="FF1F2A30"/>
        <rFont val="Noto Sans CJK SC"/>
        <family val="2"/>
      </rPr>
      <t xml:space="preserve">拯救更多生命 </t>
    </r>
    <r>
      <rPr>
        <sz val="9"/>
        <color rgb="FF1F2A30"/>
        <rFont val="Arial"/>
        <family val="0"/>
        <charset val="1"/>
      </rPr>
      <t xml:space="preserve">· </t>
    </r>
    <r>
      <rPr>
        <sz val="9"/>
        <color rgb="FF1F2A30"/>
        <rFont val="Noto Sans CJK SC"/>
        <family val="2"/>
      </rPr>
      <t xml:space="preserve">道路安全</t>
    </r>
  </si>
  <si>
    <r>
      <rPr>
        <sz val="9"/>
        <color rgb="FF1F2A30"/>
        <rFont val="Noto Sans CJK SC"/>
        <family val="2"/>
      </rPr>
      <t xml:space="preserve">道路安全政策 </t>
    </r>
    <r>
      <rPr>
        <sz val="9"/>
        <color rgb="FF1F2A30"/>
        <rFont val="Arial"/>
        <family val="0"/>
        <charset val="1"/>
      </rPr>
      <t xml:space="preserve">Road-safety Policy</t>
    </r>
  </si>
  <si>
    <r>
      <rPr>
        <sz val="9"/>
        <color rgb="FF1F2A30"/>
        <rFont val="Noto Sans CJK SC"/>
        <family val="2"/>
      </rPr>
      <t xml:space="preserve">是否制定并实施道路安全政策，涵盖防御性驾驶培训、强制系安全带</t>
    </r>
    <r>
      <rPr>
        <sz val="9"/>
        <color rgb="FF1F2A30"/>
        <rFont val="Arial"/>
        <family val="0"/>
        <charset val="1"/>
      </rPr>
      <t xml:space="preserve">/</t>
    </r>
    <r>
      <rPr>
        <sz val="9"/>
        <color rgb="FF1F2A30"/>
        <rFont val="Noto Sans CJK SC"/>
        <family val="2"/>
      </rPr>
      <t xml:space="preserve">戴头盔、驾驶禁用手机、零酒驾（酒精锁计划）、疲劳驾驶管控、第三方保险，并覆盖承包人员？</t>
    </r>
  </si>
  <si>
    <t xml:space="preserve">Have you established and implemented a road-safety policy covering defensive-driving training, mandatory seatbelts/helmets, no phone use while driving, zero drink-driving (alcohol-interlock program), fatigue management and third-party insurance, covering contracted personnel?</t>
  </si>
  <si>
    <r>
      <rPr>
        <sz val="9"/>
        <color rgb="FF1F2A30"/>
        <rFont val="Arial"/>
        <family val="0"/>
        <charset val="1"/>
      </rPr>
      <t xml:space="preserve">Requirement</t>
    </r>
    <r>
      <rPr>
        <sz val="9"/>
        <color rgb="FF1F2A30"/>
        <rFont val="Noto Sans CJK SC"/>
        <family val="2"/>
      </rPr>
      <t xml:space="preserve">（</t>
    </r>
    <r>
      <rPr>
        <sz val="9"/>
        <color rgb="FF1F2A30"/>
        <rFont val="Arial"/>
        <family val="0"/>
        <charset val="1"/>
      </rPr>
      <t xml:space="preserve">#30, 2024</t>
    </r>
    <r>
      <rPr>
        <sz val="9"/>
        <color rgb="FF1F2A30"/>
        <rFont val="Noto Sans CJK SC"/>
        <family val="2"/>
      </rPr>
      <t xml:space="preserve">）。</t>
    </r>
    <r>
      <rPr>
        <sz val="9"/>
        <color rgb="FF1F2A30"/>
        <rFont val="Arial"/>
        <family val="0"/>
        <charset val="1"/>
      </rPr>
      <t xml:space="preserve">Autoliv </t>
    </r>
    <r>
      <rPr>
        <sz val="9"/>
        <color rgb="FF1F2A30"/>
        <rFont val="Noto Sans CJK SC"/>
        <family val="2"/>
      </rPr>
      <t xml:space="preserve">使命</t>
    </r>
    <r>
      <rPr>
        <sz val="9"/>
        <color rgb="FF1F2A30"/>
        <rFont val="Arial"/>
        <family val="0"/>
        <charset val="1"/>
      </rPr>
      <t xml:space="preserve">"</t>
    </r>
    <r>
      <rPr>
        <sz val="9"/>
        <color rgb="FF1F2A30"/>
        <rFont val="Noto Sans CJK SC"/>
        <family val="2"/>
      </rPr>
      <t xml:space="preserve">拯救更多生命</t>
    </r>
    <r>
      <rPr>
        <sz val="9"/>
        <color rgb="FF1F2A30"/>
        <rFont val="Arial"/>
        <family val="0"/>
        <charset val="1"/>
      </rPr>
      <t xml:space="preserve">"</t>
    </r>
    <r>
      <rPr>
        <sz val="9"/>
        <color rgb="FF1F2A30"/>
        <rFont val="Noto Sans CJK SC"/>
        <family val="2"/>
      </rPr>
      <t xml:space="preserve">。平台提供道路安全政策模板（轻量）。 </t>
    </r>
    <r>
      <rPr>
        <sz val="9"/>
        <color rgb="FF1F2A30"/>
        <rFont val="Arial"/>
        <family val="0"/>
        <charset val="1"/>
      </rPr>
      <t xml:space="preserve">/ Requirement (#30, 2024). Autoliv's mission is Saving More Lives. Platform offers a lightweight road-safety policy template.</t>
    </r>
  </si>
  <si>
    <r>
      <rPr>
        <sz val="9"/>
        <color rgb="FF1F2A30"/>
        <rFont val="Arial"/>
        <family val="0"/>
        <charset val="1"/>
      </rPr>
      <t xml:space="preserve">#30 </t>
    </r>
    <r>
      <rPr>
        <sz val="9"/>
        <color rgb="FF1F2A30"/>
        <rFont val="Noto Sans CJK SC"/>
        <family val="2"/>
      </rPr>
      <t xml:space="preserve">道路安全政策</t>
    </r>
  </si>
  <si>
    <r>
      <rPr>
        <sz val="9"/>
        <color rgb="FF1F2A30"/>
        <rFont val="Arial"/>
        <family val="0"/>
        <charset val="1"/>
      </rPr>
      <t xml:space="preserve">Autoliv </t>
    </r>
    <r>
      <rPr>
        <sz val="9"/>
        <color rgb="FF1F2A30"/>
        <rFont val="Noto Sans CJK SC"/>
        <family val="2"/>
      </rPr>
      <t xml:space="preserve">采购要求 </t>
    </r>
    <r>
      <rPr>
        <sz val="9"/>
        <color rgb="FF1F2A30"/>
        <rFont val="Arial"/>
        <family val="0"/>
        <charset val="1"/>
      </rPr>
      <t xml:space="preserve">#30</t>
    </r>
    <r>
      <rPr>
        <sz val="9"/>
        <color rgb="FF1F2A30"/>
        <rFont val="Noto Sans CJK SC"/>
        <family val="2"/>
      </rPr>
      <t xml:space="preserve">（</t>
    </r>
    <r>
      <rPr>
        <sz val="9"/>
        <color rgb="FF1F2A30"/>
        <rFont val="Arial"/>
        <family val="0"/>
        <charset val="1"/>
      </rPr>
      <t xml:space="preserve">Autoliv </t>
    </r>
    <r>
      <rPr>
        <sz val="9"/>
        <color rgb="FF1F2A30"/>
        <rFont val="Noto Sans CJK SC"/>
        <family val="2"/>
      </rPr>
      <t xml:space="preserve">专属维度）</t>
    </r>
  </si>
  <si>
    <r>
      <rPr>
        <sz val="9"/>
        <color rgb="FF1F2A30"/>
        <rFont val="Noto Sans CJK SC"/>
        <family val="2"/>
      </rPr>
      <t xml:space="preserve">交通事故报告 </t>
    </r>
    <r>
      <rPr>
        <sz val="9"/>
        <color rgb="FF1F2A30"/>
        <rFont val="Arial"/>
        <family val="0"/>
        <charset val="1"/>
      </rPr>
      <t xml:space="preserve">Incident Reporting</t>
    </r>
  </si>
  <si>
    <t xml:space="preserve">运输供应商是否记录里程、碰撞、重伤与死亡数据，并保存匿名事故元数据（覆盖自有与承包人员）？</t>
  </si>
  <si>
    <t xml:space="preserve">Do transport suppliers record mileage, crashes, serious injuries and fatalities, and keep anonymized incident metadata (own and contracted personnel)?</t>
  </si>
  <si>
    <r>
      <rPr>
        <sz val="9"/>
        <color rgb="FF1F2A30"/>
        <rFont val="Arial"/>
        <family val="0"/>
        <charset val="1"/>
      </rPr>
      <t xml:space="preserve">Expectation</t>
    </r>
    <r>
      <rPr>
        <sz val="9"/>
        <color rgb="FF1F2A30"/>
        <rFont val="Noto Sans CJK SC"/>
        <family val="2"/>
      </rPr>
      <t xml:space="preserve">（</t>
    </r>
    <r>
      <rPr>
        <sz val="9"/>
        <color rgb="FF1F2A30"/>
        <rFont val="Arial"/>
        <family val="0"/>
        <charset val="1"/>
      </rPr>
      <t xml:space="preserve">#31, 2024</t>
    </r>
    <r>
      <rPr>
        <sz val="9"/>
        <color rgb="FF1F2A30"/>
        <rFont val="Noto Sans CJK SC"/>
        <family val="2"/>
      </rPr>
      <t xml:space="preserve">）。平台提供事件台账工具。 </t>
    </r>
    <r>
      <rPr>
        <sz val="9"/>
        <color rgb="FF1F2A30"/>
        <rFont val="Arial"/>
        <family val="0"/>
        <charset val="1"/>
      </rPr>
      <t xml:space="preserve">/ Expectation (#31, 2024). Platform offers an incident-log tool.</t>
    </r>
  </si>
  <si>
    <r>
      <rPr>
        <sz val="9"/>
        <color rgb="FF1F2A30"/>
        <rFont val="Arial"/>
        <family val="0"/>
        <charset val="1"/>
      </rPr>
      <t xml:space="preserve">#31 </t>
    </r>
    <r>
      <rPr>
        <sz val="9"/>
        <color rgb="FF1F2A30"/>
        <rFont val="Noto Sans CJK SC"/>
        <family val="2"/>
      </rPr>
      <t xml:space="preserve">交通事故报告</t>
    </r>
  </si>
  <si>
    <r>
      <rPr>
        <sz val="9"/>
        <color rgb="FF1F2A30"/>
        <rFont val="Arial"/>
        <family val="0"/>
        <charset val="1"/>
      </rPr>
      <t xml:space="preserve">Autoliv </t>
    </r>
    <r>
      <rPr>
        <sz val="9"/>
        <color rgb="FF1F2A30"/>
        <rFont val="Noto Sans CJK SC"/>
        <family val="2"/>
      </rPr>
      <t xml:space="preserve">采购要求 </t>
    </r>
    <r>
      <rPr>
        <sz val="9"/>
        <color rgb="FF1F2A30"/>
        <rFont val="Arial"/>
        <family val="0"/>
        <charset val="1"/>
      </rPr>
      <t xml:space="preserve">#31</t>
    </r>
    <r>
      <rPr>
        <sz val="9"/>
        <color rgb="FF1F2A30"/>
        <rFont val="Noto Sans CJK SC"/>
        <family val="2"/>
      </rPr>
      <t xml:space="preserve">（</t>
    </r>
    <r>
      <rPr>
        <sz val="9"/>
        <color rgb="FF1F2A30"/>
        <rFont val="Arial"/>
        <family val="0"/>
        <charset val="1"/>
      </rPr>
      <t xml:space="preserve">Autoliv </t>
    </r>
    <r>
      <rPr>
        <sz val="9"/>
        <color rgb="FF1F2A30"/>
        <rFont val="Noto Sans CJK SC"/>
        <family val="2"/>
      </rPr>
      <t xml:space="preserve">专属维度）</t>
    </r>
  </si>
  <si>
    <r>
      <rPr>
        <sz val="9"/>
        <color rgb="FF1F2A30"/>
        <rFont val="Noto Sans CJK SC"/>
        <family val="2"/>
      </rPr>
      <t xml:space="preserve">重型货车安全 </t>
    </r>
    <r>
      <rPr>
        <sz val="9"/>
        <color rgb="FF1F2A30"/>
        <rFont val="Arial"/>
        <family val="0"/>
        <charset val="1"/>
      </rPr>
      <t xml:space="preserve">HGV Safety</t>
    </r>
  </si>
  <si>
    <r>
      <rPr>
        <sz val="9"/>
        <color rgb="FF1F2A30"/>
        <rFont val="Noto Sans CJK SC"/>
        <family val="2"/>
      </rPr>
      <t xml:space="preserve">重型货车（</t>
    </r>
    <r>
      <rPr>
        <sz val="9"/>
        <color rgb="FF1F2A30"/>
        <rFont val="Arial"/>
        <family val="0"/>
        <charset val="1"/>
      </rPr>
      <t xml:space="preserve">HGV</t>
    </r>
    <r>
      <rPr>
        <sz val="9"/>
        <color rgb="FF1F2A30"/>
        <rFont val="Noto Sans CJK SC"/>
        <family val="2"/>
      </rPr>
      <t xml:space="preserve">）是否配备气囊、安全带与酒精锁，新购运输车辆是否按所在市场最高安全评级采购？</t>
    </r>
  </si>
  <si>
    <t xml:space="preserve">Are heavy goods vehicles (HGVs) equipped with airbags, seatbelts and alcohol interlocks, and are newly procured transport vehicles bought to the highest safety rating available in their market?</t>
  </si>
  <si>
    <r>
      <rPr>
        <sz val="9"/>
        <color rgb="FF1F2A30"/>
        <rFont val="Arial"/>
        <family val="0"/>
        <charset val="1"/>
      </rPr>
      <t xml:space="preserve">Expectation</t>
    </r>
    <r>
      <rPr>
        <sz val="9"/>
        <color rgb="FF1F2A30"/>
        <rFont val="Noto Sans CJK SC"/>
        <family val="2"/>
      </rPr>
      <t xml:space="preserve">（</t>
    </r>
    <r>
      <rPr>
        <sz val="9"/>
        <color rgb="FF1F2A30"/>
        <rFont val="Arial"/>
        <family val="0"/>
        <charset val="1"/>
      </rPr>
      <t xml:space="preserve">#32, 2024</t>
    </r>
    <r>
      <rPr>
        <sz val="9"/>
        <color rgb="FF1F2A30"/>
        <rFont val="Noto Sans CJK SC"/>
        <family val="2"/>
      </rPr>
      <t xml:space="preserve">）。覆盖自有与承包车辆。 </t>
    </r>
    <r>
      <rPr>
        <sz val="9"/>
        <color rgb="FF1F2A30"/>
        <rFont val="Arial"/>
        <family val="0"/>
        <charset val="1"/>
      </rPr>
      <t xml:space="preserve">/ Expectation (#32, 2024). Covers own and contracted vehicles.</t>
    </r>
  </si>
  <si>
    <r>
      <rPr>
        <sz val="9"/>
        <color rgb="FF1F2A30"/>
        <rFont val="Arial"/>
        <family val="0"/>
        <charset val="1"/>
      </rPr>
      <t xml:space="preserve">#32 </t>
    </r>
    <r>
      <rPr>
        <sz val="9"/>
        <color rgb="FF1F2A30"/>
        <rFont val="Noto Sans CJK SC"/>
        <family val="2"/>
      </rPr>
      <t xml:space="preserve">重型货车安全</t>
    </r>
  </si>
  <si>
    <r>
      <rPr>
        <sz val="9"/>
        <color rgb="FF1F2A30"/>
        <rFont val="Arial"/>
        <family val="0"/>
        <charset val="1"/>
      </rPr>
      <t xml:space="preserve">Autoliv </t>
    </r>
    <r>
      <rPr>
        <sz val="9"/>
        <color rgb="FF1F2A30"/>
        <rFont val="Noto Sans CJK SC"/>
        <family val="2"/>
      </rPr>
      <t xml:space="preserve">采购要求 </t>
    </r>
    <r>
      <rPr>
        <sz val="9"/>
        <color rgb="FF1F2A30"/>
        <rFont val="Arial"/>
        <family val="0"/>
        <charset val="1"/>
      </rPr>
      <t xml:space="preserve">#32</t>
    </r>
    <r>
      <rPr>
        <sz val="9"/>
        <color rgb="FF1F2A30"/>
        <rFont val="Noto Sans CJK SC"/>
        <family val="2"/>
      </rPr>
      <t xml:space="preserve">（</t>
    </r>
    <r>
      <rPr>
        <sz val="9"/>
        <color rgb="FF1F2A30"/>
        <rFont val="Arial"/>
        <family val="0"/>
        <charset val="1"/>
      </rPr>
      <t xml:space="preserve">Autoliv </t>
    </r>
    <r>
      <rPr>
        <sz val="9"/>
        <color rgb="FF1F2A30"/>
        <rFont val="Noto Sans CJK SC"/>
        <family val="2"/>
      </rPr>
      <t xml:space="preserve">专属维度）</t>
    </r>
  </si>
  <si>
    <r>
      <rPr>
        <b val="true"/>
        <sz val="15"/>
        <color rgb="FF002D6B"/>
        <rFont val="Noto Sans CJK SC"/>
        <family val="2"/>
      </rPr>
      <t xml:space="preserve">计分汇总  </t>
    </r>
    <r>
      <rPr>
        <b val="true"/>
        <sz val="15"/>
        <color rgb="FF002D6B"/>
        <rFont val="Arial"/>
        <family val="0"/>
        <charset val="1"/>
      </rPr>
      <t xml:space="preserve">Score Summary</t>
    </r>
  </si>
  <si>
    <r>
      <rPr>
        <i val="true"/>
        <sz val="8"/>
        <color rgb="FF8A99A2"/>
        <rFont val="Noto Sans CJK SC"/>
        <family val="2"/>
      </rPr>
      <t xml:space="preserve">得分 </t>
    </r>
    <r>
      <rPr>
        <i val="true"/>
        <sz val="8"/>
        <color rgb="FF8A99A2"/>
        <rFont val="Arial"/>
        <family val="0"/>
        <charset val="1"/>
      </rPr>
      <t xml:space="preserve">= Σ</t>
    </r>
    <r>
      <rPr>
        <i val="true"/>
        <sz val="8"/>
        <color rgb="FF8A99A2"/>
        <rFont val="Noto Sans CJK SC"/>
        <family val="2"/>
      </rPr>
      <t xml:space="preserve">权重</t>
    </r>
    <r>
      <rPr>
        <i val="true"/>
        <sz val="8"/>
        <color rgb="FF8A99A2"/>
        <rFont val="Arial"/>
        <family val="0"/>
        <charset val="1"/>
      </rPr>
      <t xml:space="preserve">(</t>
    </r>
    <r>
      <rPr>
        <i val="true"/>
        <sz val="8"/>
        <color rgb="FF8A99A2"/>
        <rFont val="Noto Sans CJK SC"/>
        <family val="2"/>
      </rPr>
      <t xml:space="preserve">是</t>
    </r>
    <r>
      <rPr>
        <i val="true"/>
        <sz val="8"/>
        <color rgb="FF8A99A2"/>
        <rFont val="Arial"/>
        <family val="0"/>
        <charset val="1"/>
      </rPr>
      <t xml:space="preserve">) / Σ</t>
    </r>
    <r>
      <rPr>
        <i val="true"/>
        <sz val="8"/>
        <color rgb="FF8A99A2"/>
        <rFont val="Noto Sans CJK SC"/>
        <family val="2"/>
      </rPr>
      <t xml:space="preserve">权重</t>
    </r>
    <r>
      <rPr>
        <i val="true"/>
        <sz val="8"/>
        <color rgb="FF8A99A2"/>
        <rFont val="Arial"/>
        <family val="0"/>
        <charset val="1"/>
      </rPr>
      <t xml:space="preserve">(</t>
    </r>
    <r>
      <rPr>
        <i val="true"/>
        <sz val="8"/>
        <color rgb="FF8A99A2"/>
        <rFont val="Noto Sans CJK SC"/>
        <family val="2"/>
      </rPr>
      <t xml:space="preserve">全部，剔除 </t>
    </r>
    <r>
      <rPr>
        <i val="true"/>
        <sz val="8"/>
        <color rgb="FF8A99A2"/>
        <rFont val="Arial"/>
        <family val="0"/>
        <charset val="1"/>
      </rPr>
      <t xml:space="preserve">N/A) × 100</t>
    </r>
    <r>
      <rPr>
        <i val="true"/>
        <sz val="8"/>
        <color rgb="FF8A99A2"/>
        <rFont val="Noto Sans CJK SC"/>
        <family val="2"/>
      </rPr>
      <t xml:space="preserve">；数据来源『问卷正文』。作答后自动刷新。</t>
    </r>
  </si>
  <si>
    <r>
      <rPr>
        <b val="true"/>
        <sz val="9"/>
        <color rgb="FFFFFFFF"/>
        <rFont val="Noto Sans CJK SC"/>
        <family val="2"/>
      </rPr>
      <t xml:space="preserve">支柱 </t>
    </r>
    <r>
      <rPr>
        <b val="true"/>
        <sz val="9"/>
        <color rgb="FFFFFFFF"/>
        <rFont val="Arial"/>
        <family val="0"/>
        <charset val="1"/>
      </rPr>
      <t xml:space="preserve">Pillar</t>
    </r>
  </si>
  <si>
    <r>
      <rPr>
        <b val="true"/>
        <sz val="9"/>
        <color rgb="FFFFFFFF"/>
        <rFont val="Noto Sans CJK SC"/>
        <family val="2"/>
      </rPr>
      <t xml:space="preserve">题数 </t>
    </r>
    <r>
      <rPr>
        <b val="true"/>
        <sz val="9"/>
        <color rgb="FFFFFFFF"/>
        <rFont val="Arial"/>
        <family val="0"/>
        <charset val="1"/>
      </rPr>
      <t xml:space="preserve">Q</t>
    </r>
  </si>
  <si>
    <r>
      <rPr>
        <b val="true"/>
        <sz val="9"/>
        <color rgb="FFFFFFFF"/>
        <rFont val="Noto Sans CJK SC"/>
        <family val="2"/>
      </rPr>
      <t xml:space="preserve">当前得分 </t>
    </r>
    <r>
      <rPr>
        <b val="true"/>
        <sz val="9"/>
        <color rgb="FFFFFFFF"/>
        <rFont val="Arial"/>
        <family val="0"/>
        <charset val="1"/>
      </rPr>
      <t xml:space="preserve">Score</t>
    </r>
  </si>
  <si>
    <r>
      <rPr>
        <b val="true"/>
        <sz val="9"/>
        <color rgb="FFFFFFFF"/>
        <rFont val="Noto Sans CJK SC"/>
        <family val="2"/>
      </rPr>
      <t xml:space="preserve">满分 </t>
    </r>
    <r>
      <rPr>
        <b val="true"/>
        <sz val="9"/>
        <color rgb="FFFFFFFF"/>
        <rFont val="Arial"/>
        <family val="0"/>
        <charset val="1"/>
      </rPr>
      <t xml:space="preserve">Wt</t>
    </r>
  </si>
  <si>
    <r>
      <rPr>
        <b val="true"/>
        <sz val="9"/>
        <color rgb="FFFFFFFF"/>
        <rFont val="Noto Sans CJK SC"/>
        <family val="2"/>
      </rPr>
      <t xml:space="preserve">最低项 </t>
    </r>
    <r>
      <rPr>
        <b val="true"/>
        <sz val="9"/>
        <color rgb="FFFFFFFF"/>
        <rFont val="Arial"/>
        <family val="0"/>
        <charset val="1"/>
      </rPr>
      <t xml:space="preserve">R</t>
    </r>
  </si>
  <si>
    <r>
      <rPr>
        <b val="true"/>
        <sz val="9"/>
        <color rgb="FFFFFFFF"/>
        <rFont val="Arial"/>
        <family val="0"/>
        <charset val="1"/>
      </rPr>
      <t xml:space="preserve">R </t>
    </r>
    <r>
      <rPr>
        <b val="true"/>
        <sz val="9"/>
        <color rgb="FFFFFFFF"/>
        <rFont val="Noto Sans CJK SC"/>
        <family val="2"/>
      </rPr>
      <t xml:space="preserve">未达标 </t>
    </r>
    <r>
      <rPr>
        <b val="true"/>
        <sz val="9"/>
        <color rgb="FFFFFFFF"/>
        <rFont val="Arial"/>
        <family val="0"/>
        <charset val="1"/>
      </rPr>
      <t xml:space="preserve">Below-min</t>
    </r>
  </si>
  <si>
    <r>
      <rPr>
        <b val="true"/>
        <sz val="9"/>
        <color rgb="FF1F2A30"/>
        <rFont val="Arial"/>
        <family val="0"/>
        <charset val="1"/>
      </rPr>
      <t xml:space="preserve">P1 </t>
    </r>
    <r>
      <rPr>
        <b val="true"/>
        <sz val="9"/>
        <color rgb="FF1F2A30"/>
        <rFont val="Noto Sans CJK SC"/>
        <family val="2"/>
      </rPr>
      <t xml:space="preserve">可持续管理框架与传导</t>
    </r>
  </si>
  <si>
    <r>
      <rPr>
        <b val="true"/>
        <sz val="9"/>
        <color rgb="FF1F2A30"/>
        <rFont val="Arial"/>
        <family val="0"/>
        <charset val="1"/>
      </rPr>
      <t xml:space="preserve">P2 </t>
    </r>
    <r>
      <rPr>
        <b val="true"/>
        <sz val="9"/>
        <color rgb="FF1F2A30"/>
        <rFont val="Noto Sans CJK SC"/>
        <family val="2"/>
      </rPr>
      <t xml:space="preserve">气候中和</t>
    </r>
  </si>
  <si>
    <r>
      <rPr>
        <b val="true"/>
        <sz val="9"/>
        <color rgb="FF1F2A30"/>
        <rFont val="Arial"/>
        <family val="0"/>
        <charset val="1"/>
      </rPr>
      <t xml:space="preserve">P3 </t>
    </r>
    <r>
      <rPr>
        <b val="true"/>
        <sz val="9"/>
        <color rgb="FF1F2A30"/>
        <rFont val="Noto Sans CJK SC"/>
        <family val="2"/>
      </rPr>
      <t xml:space="preserve">循环性</t>
    </r>
  </si>
  <si>
    <r>
      <rPr>
        <b val="true"/>
        <sz val="9"/>
        <color rgb="FF1F2A30"/>
        <rFont val="Arial"/>
        <family val="0"/>
        <charset val="1"/>
      </rPr>
      <t xml:space="preserve">P4 </t>
    </r>
    <r>
      <rPr>
        <b val="true"/>
        <sz val="9"/>
        <color rgb="FF1F2A30"/>
        <rFont val="Noto Sans CJK SC"/>
        <family val="2"/>
      </rPr>
      <t xml:space="preserve">负责任商业与透明度</t>
    </r>
  </si>
  <si>
    <r>
      <rPr>
        <b val="true"/>
        <sz val="9"/>
        <color rgb="FF1F2A30"/>
        <rFont val="Arial"/>
        <family val="0"/>
        <charset val="1"/>
      </rPr>
      <t xml:space="preserve">P5 </t>
    </r>
    <r>
      <rPr>
        <b val="true"/>
        <sz val="9"/>
        <color rgb="FF1F2A30"/>
        <rFont val="Noto Sans CJK SC"/>
        <family val="2"/>
      </rPr>
      <t xml:space="preserve">安全</t>
    </r>
    <r>
      <rPr>
        <b val="true"/>
        <sz val="9"/>
        <color rgb="FF1F2A30"/>
        <rFont val="Arial"/>
        <family val="0"/>
        <charset val="1"/>
      </rPr>
      <t xml:space="preserve">·</t>
    </r>
    <r>
      <rPr>
        <b val="true"/>
        <sz val="9"/>
        <color rgb="FF1F2A30"/>
        <rFont val="Noto Sans CJK SC"/>
        <family val="2"/>
      </rPr>
      <t xml:space="preserve">包容与环境职场</t>
    </r>
  </si>
  <si>
    <r>
      <rPr>
        <b val="true"/>
        <sz val="9"/>
        <color rgb="FF1F2A30"/>
        <rFont val="Arial"/>
        <family val="0"/>
        <charset val="1"/>
      </rPr>
      <t xml:space="preserve">P6 </t>
    </r>
    <r>
      <rPr>
        <b val="true"/>
        <sz val="9"/>
        <color rgb="FF1F2A30"/>
        <rFont val="Noto Sans CJK SC"/>
        <family val="2"/>
      </rPr>
      <t xml:space="preserve">拯救更多生命 </t>
    </r>
    <r>
      <rPr>
        <b val="true"/>
        <sz val="9"/>
        <color rgb="FF1F2A30"/>
        <rFont val="Arial"/>
        <family val="0"/>
        <charset val="1"/>
      </rPr>
      <t xml:space="preserve">· </t>
    </r>
    <r>
      <rPr>
        <b val="true"/>
        <sz val="9"/>
        <color rgb="FF1F2A30"/>
        <rFont val="Noto Sans CJK SC"/>
        <family val="2"/>
      </rPr>
      <t xml:space="preserve">道路安全</t>
    </r>
  </si>
  <si>
    <r>
      <rPr>
        <b val="true"/>
        <sz val="10"/>
        <color rgb="FFFFFFFF"/>
        <rFont val="Noto Sans CJK SC"/>
        <family val="2"/>
      </rPr>
      <t xml:space="preserve">总计 </t>
    </r>
    <r>
      <rPr>
        <b val="true"/>
        <sz val="10"/>
        <color rgb="FFFFFFFF"/>
        <rFont val="Arial"/>
        <family val="0"/>
        <charset val="1"/>
      </rPr>
      <t xml:space="preserve">TOTAL</t>
    </r>
  </si>
  <si>
    <r>
      <rPr>
        <b val="true"/>
        <sz val="11"/>
        <color rgb="FF002D6B"/>
        <rFont val="Noto Sans CJK SC"/>
        <family val="2"/>
      </rPr>
      <t xml:space="preserve">数据校验 </t>
    </r>
    <r>
      <rPr>
        <b val="true"/>
        <sz val="11"/>
        <color rgb="FF002D6B"/>
        <rFont val="Arial"/>
        <family val="0"/>
        <charset val="1"/>
      </rPr>
      <t xml:space="preserve">Data checks</t>
    </r>
  </si>
  <si>
    <r>
      <rPr>
        <sz val="9"/>
        <color rgb="FF1F2A30"/>
        <rFont val="Noto Sans CJK SC"/>
        <family val="2"/>
      </rPr>
      <t xml:space="preserve">  • 未作答 </t>
    </r>
    <r>
      <rPr>
        <sz val="9"/>
        <color rgb="FF1F2A30"/>
        <rFont val="Arial"/>
        <family val="0"/>
        <charset val="1"/>
      </rPr>
      <t xml:space="preserve">No answer</t>
    </r>
  </si>
  <si>
    <r>
      <rPr>
        <sz val="9"/>
        <color rgb="FF1F2A30"/>
        <rFont val="Noto Sans CJK SC"/>
        <family val="2"/>
      </rPr>
      <t xml:space="preserve">  • 答『是』但缺支持信息 </t>
    </r>
    <r>
      <rPr>
        <sz val="9"/>
        <color rgb="FF1F2A30"/>
        <rFont val="Arial"/>
        <family val="0"/>
        <charset val="1"/>
      </rPr>
      <t xml:space="preserve">Yes w/o support</t>
    </r>
  </si>
  <si>
    <r>
      <rPr>
        <sz val="9"/>
        <color rgb="FF1F2A30"/>
        <rFont val="Noto Sans CJK SC"/>
        <family val="2"/>
      </rPr>
      <t xml:space="preserve">  • 最低要求</t>
    </r>
    <r>
      <rPr>
        <sz val="9"/>
        <color rgb="FF1F2A30"/>
        <rFont val="Arial"/>
        <family val="0"/>
        <charset val="1"/>
      </rPr>
      <t xml:space="preserve">(R)</t>
    </r>
    <r>
      <rPr>
        <sz val="9"/>
        <color rgb="FF1F2A30"/>
        <rFont val="Noto Sans CJK SC"/>
        <family val="2"/>
      </rPr>
      <t xml:space="preserve">未达标 </t>
    </r>
    <r>
      <rPr>
        <sz val="9"/>
        <color rgb="FF1F2A30"/>
        <rFont val="Arial"/>
        <family val="0"/>
        <charset val="1"/>
      </rPr>
      <t xml:space="preserve">Below-minimum</t>
    </r>
  </si>
  <si>
    <r>
      <rPr>
        <b val="true"/>
        <sz val="9"/>
        <color rgb="FFFFFFFF"/>
        <rFont val="Noto Sans CJK SC"/>
        <family val="2"/>
      </rPr>
      <t xml:space="preserve">编号 </t>
    </r>
    <r>
      <rPr>
        <b val="true"/>
        <sz val="9"/>
        <color rgb="FFFFFFFF"/>
        <rFont val="Arial"/>
        <family val="0"/>
        <charset val="1"/>
      </rPr>
      <t xml:space="preserve">No.</t>
    </r>
  </si>
  <si>
    <r>
      <rPr>
        <b val="true"/>
        <sz val="9"/>
        <color rgb="FFFFFFFF"/>
        <rFont val="Noto Sans CJK SC"/>
        <family val="2"/>
      </rPr>
      <t xml:space="preserve">权重 </t>
    </r>
    <r>
      <rPr>
        <b val="true"/>
        <sz val="9"/>
        <color rgb="FFFFFFFF"/>
        <rFont val="Arial"/>
        <family val="0"/>
        <charset val="1"/>
      </rPr>
      <t xml:space="preserve">Weight</t>
    </r>
  </si>
  <si>
    <r>
      <rPr>
        <b val="true"/>
        <sz val="9"/>
        <color rgb="FFFFFFFF"/>
        <rFont val="Noto Sans CJK SC"/>
        <family val="2"/>
      </rPr>
      <t xml:space="preserve">强制 </t>
    </r>
    <r>
      <rPr>
        <b val="true"/>
        <sz val="9"/>
        <color rgb="FFFFFFFF"/>
        <rFont val="Arial"/>
        <family val="0"/>
        <charset val="1"/>
      </rPr>
      <t xml:space="preserve">Type</t>
    </r>
  </si>
  <si>
    <r>
      <rPr>
        <b val="true"/>
        <sz val="9"/>
        <color rgb="FFFFFFFF"/>
        <rFont val="Noto Sans CJK SC"/>
        <family val="2"/>
      </rPr>
      <t xml:space="preserve">题目 </t>
    </r>
    <r>
      <rPr>
        <b val="true"/>
        <sz val="9"/>
        <color rgb="FFFFFFFF"/>
        <rFont val="Arial"/>
        <family val="0"/>
        <charset val="1"/>
      </rPr>
      <t xml:space="preserve">Question(CN)</t>
    </r>
  </si>
  <si>
    <r>
      <rPr>
        <sz val="8"/>
        <color rgb="FF1F2A30"/>
        <rFont val="Noto Sans CJK SC"/>
        <family val="2"/>
      </rPr>
      <t xml:space="preserve">公司是否任命高管层的可持续发展负责人（涵盖社会</t>
    </r>
    <r>
      <rPr>
        <sz val="8"/>
        <color rgb="FF1F2A30"/>
        <rFont val="Arial"/>
        <family val="0"/>
        <charset val="1"/>
      </rPr>
      <t xml:space="preserve">/</t>
    </r>
    <r>
      <rPr>
        <sz val="8"/>
        <color rgb="FF1F2A30"/>
        <rFont val="Noto Sans CJK SC"/>
        <family val="2"/>
      </rPr>
      <t xml:space="preserve">合规</t>
    </r>
    <r>
      <rPr>
        <sz val="8"/>
        <color rgb="FF1F2A30"/>
        <rFont val="Arial"/>
        <family val="0"/>
        <charset val="1"/>
      </rPr>
      <t xml:space="preserve">/</t>
    </r>
    <r>
      <rPr>
        <sz val="8"/>
        <color rgb="FF1F2A30"/>
        <rFont val="Noto Sans CJK SC"/>
        <family val="2"/>
      </rPr>
      <t xml:space="preserve">环境），职责已成文并保持联系方式更新？</t>
    </r>
  </si>
  <si>
    <r>
      <rPr>
        <sz val="8"/>
        <color rgb="FF1F2A30"/>
        <rFont val="Noto Sans CJK SC"/>
        <family val="2"/>
      </rPr>
      <t xml:space="preserve">选择供应商时，是否将低碳与可持续要求（含 </t>
    </r>
    <r>
      <rPr>
        <sz val="8"/>
        <color rgb="FF1F2A30"/>
        <rFont val="Arial"/>
        <family val="0"/>
        <charset val="1"/>
      </rPr>
      <t xml:space="preserve">Autoliv </t>
    </r>
    <r>
      <rPr>
        <sz val="8"/>
        <color rgb="FF1F2A30"/>
        <rFont val="Noto Sans CJK SC"/>
        <family val="2"/>
      </rPr>
      <t xml:space="preserve">采购要求）作为准入与选择标准？</t>
    </r>
  </si>
  <si>
    <r>
      <rPr>
        <sz val="8"/>
        <color rgb="FF1F2A30"/>
        <rFont val="Noto Sans CJK SC"/>
        <family val="2"/>
      </rPr>
      <t xml:space="preserve">是否已将 </t>
    </r>
    <r>
      <rPr>
        <sz val="8"/>
        <color rgb="FF1F2A30"/>
        <rFont val="Arial"/>
        <family val="0"/>
        <charset val="1"/>
      </rPr>
      <t xml:space="preserve">Autoliv </t>
    </r>
    <r>
      <rPr>
        <sz val="8"/>
        <color rgb="FF1F2A30"/>
        <rFont val="Noto Sans CJK SC"/>
        <family val="2"/>
      </rPr>
      <t xml:space="preserve">全部可持续采购要求逐条传导至上游（</t>
    </r>
    <r>
      <rPr>
        <sz val="8"/>
        <color rgb="FF1F2A30"/>
        <rFont val="Arial"/>
        <family val="0"/>
        <charset val="1"/>
      </rPr>
      <t xml:space="preserve">Tier-2</t>
    </r>
    <r>
      <rPr>
        <sz val="8"/>
        <color rgb="FF1F2A30"/>
        <rFont val="Noto Sans CJK SC"/>
        <family val="2"/>
      </rPr>
      <t xml:space="preserve">），并验证 </t>
    </r>
    <r>
      <rPr>
        <sz val="8"/>
        <color rgb="FF1F2A30"/>
        <rFont val="Arial"/>
        <family val="0"/>
        <charset val="1"/>
      </rPr>
      <t xml:space="preserve">Tier-2 </t>
    </r>
    <r>
      <rPr>
        <sz val="8"/>
        <color rgb="FF1F2A30"/>
        <rFont val="Noto Sans CJK SC"/>
        <family val="2"/>
      </rPr>
      <t xml:space="preserve">已采纳、要求其继续向 </t>
    </r>
    <r>
      <rPr>
        <sz val="8"/>
        <color rgb="FF1F2A30"/>
        <rFont val="Arial"/>
        <family val="0"/>
        <charset val="1"/>
      </rPr>
      <t xml:space="preserve">Tier-3 </t>
    </r>
    <r>
      <rPr>
        <sz val="8"/>
        <color rgb="FF1F2A30"/>
        <rFont val="Noto Sans CJK SC"/>
        <family val="2"/>
      </rPr>
      <t xml:space="preserve">传导？</t>
    </r>
  </si>
  <si>
    <r>
      <rPr>
        <sz val="8"/>
        <color rgb="FF1F2A30"/>
        <rFont val="Noto Sans CJK SC"/>
        <family val="2"/>
      </rPr>
      <t xml:space="preserve">是否能按 </t>
    </r>
    <r>
      <rPr>
        <sz val="8"/>
        <color rgb="FF1F2A30"/>
        <rFont val="Arial"/>
        <family val="0"/>
        <charset val="1"/>
      </rPr>
      <t xml:space="preserve">Autoliv </t>
    </r>
    <r>
      <rPr>
        <sz val="8"/>
        <color rgb="FF1F2A30"/>
        <rFont val="Noto Sans CJK SC"/>
        <family val="2"/>
      </rPr>
      <t xml:space="preserve">零件号将供应链追溯至 </t>
    </r>
    <r>
      <rPr>
        <sz val="8"/>
        <color rgb="FF1F2A30"/>
        <rFont val="Arial"/>
        <family val="0"/>
        <charset val="1"/>
      </rPr>
      <t xml:space="preserve">Tier-N</t>
    </r>
    <r>
      <rPr>
        <sz val="8"/>
        <color rgb="FF1F2A30"/>
        <rFont val="Noto Sans CJK SC"/>
        <family val="2"/>
      </rPr>
      <t xml:space="preserve">（含原材料级），并全力配合 </t>
    </r>
    <r>
      <rPr>
        <sz val="8"/>
        <color rgb="FF1F2A30"/>
        <rFont val="Arial"/>
        <family val="0"/>
        <charset val="1"/>
      </rPr>
      <t xml:space="preserve">Autoliv </t>
    </r>
    <r>
      <rPr>
        <sz val="8"/>
        <color rgb="FF1F2A30"/>
        <rFont val="Noto Sans CJK SC"/>
        <family val="2"/>
      </rPr>
      <t xml:space="preserve">信息请求？</t>
    </r>
  </si>
  <si>
    <r>
      <rPr>
        <sz val="8"/>
        <color rgb="FF1F2A30"/>
        <rFont val="Noto Sans CJK SC"/>
        <family val="2"/>
      </rPr>
      <t xml:space="preserve">是否承诺按 </t>
    </r>
    <r>
      <rPr>
        <sz val="8"/>
        <color rgb="FF1F2A30"/>
        <rFont val="Arial"/>
        <family val="0"/>
        <charset val="1"/>
      </rPr>
      <t xml:space="preserve">Autoliv </t>
    </r>
    <r>
      <rPr>
        <sz val="8"/>
        <color rgb="FF1F2A30"/>
        <rFont val="Noto Sans CJK SC"/>
        <family val="2"/>
      </rPr>
      <t xml:space="preserve">要求 </t>
    </r>
    <r>
      <rPr>
        <sz val="8"/>
        <color rgb="FF1F2A30"/>
        <rFont val="Arial"/>
        <family val="0"/>
        <charset val="1"/>
      </rPr>
      <t xml:space="preserve">100% </t>
    </r>
    <r>
      <rPr>
        <sz val="8"/>
        <color rgb="FF1F2A30"/>
        <rFont val="Noto Sans CJK SC"/>
        <family val="2"/>
      </rPr>
      <t xml:space="preserve">完整完成年度供应商可持续自评问卷（本问卷 </t>
    </r>
    <r>
      <rPr>
        <sz val="8"/>
        <color rgb="FF1F2A30"/>
        <rFont val="Arial"/>
        <family val="0"/>
        <charset val="1"/>
      </rPr>
      <t xml:space="preserve">/ SupplierAssurance-NQC </t>
    </r>
    <r>
      <rPr>
        <sz val="8"/>
        <color rgb="FF1F2A30"/>
        <rFont val="Noto Sans CJK SC"/>
        <family val="2"/>
      </rPr>
      <t xml:space="preserve">平台）？</t>
    </r>
  </si>
  <si>
    <r>
      <rPr>
        <sz val="8"/>
        <color rgb="FF1F2A30"/>
        <rFont val="Noto Sans CJK SC"/>
        <family val="2"/>
      </rPr>
      <t xml:space="preserve">是否接受并全力配合 </t>
    </r>
    <r>
      <rPr>
        <sz val="8"/>
        <color rgb="FF1F2A30"/>
        <rFont val="Arial"/>
        <family val="0"/>
        <charset val="1"/>
      </rPr>
      <t xml:space="preserve">Autoliv </t>
    </r>
    <r>
      <rPr>
        <sz val="8"/>
        <color rgb="FF1F2A30"/>
        <rFont val="Noto Sans CJK SC"/>
        <family val="2"/>
      </rPr>
      <t xml:space="preserve">及其授权第三方的现场审核，并对发现项制定与落实纠正措施（每 </t>
    </r>
    <r>
      <rPr>
        <sz val="8"/>
        <color rgb="FF1F2A30"/>
        <rFont val="Arial"/>
        <family val="0"/>
        <charset val="1"/>
      </rPr>
      <t xml:space="preserve">3 </t>
    </r>
    <r>
      <rPr>
        <sz val="8"/>
        <color rgb="FF1F2A30"/>
        <rFont val="Noto Sans CJK SC"/>
        <family val="2"/>
      </rPr>
      <t xml:space="preserve">年或按风险提前）？</t>
    </r>
  </si>
  <si>
    <r>
      <rPr>
        <sz val="8"/>
        <color rgb="FF1F2A30"/>
        <rFont val="Noto Sans CJK SC"/>
        <family val="2"/>
      </rPr>
      <t xml:space="preserve">是否有（</t>
    </r>
    <r>
      <rPr>
        <sz val="8"/>
        <color rgb="FF1F2A30"/>
        <rFont val="Arial"/>
        <family val="0"/>
        <charset val="1"/>
      </rPr>
      <t xml:space="preserve">1</t>
    </r>
    <r>
      <rPr>
        <sz val="8"/>
        <color rgb="FF1F2A30"/>
        <rFont val="Noto Sans CJK SC"/>
        <family val="2"/>
      </rPr>
      <t xml:space="preserve">）能耗数据统计和（</t>
    </r>
    <r>
      <rPr>
        <sz val="8"/>
        <color rgb="FF1F2A30"/>
        <rFont val="Arial"/>
        <family val="0"/>
        <charset val="1"/>
      </rPr>
      <t xml:space="preserve">2</t>
    </r>
    <r>
      <rPr>
        <sz val="8"/>
        <color rgb="FF1F2A30"/>
        <rFont val="Noto Sans CJK SC"/>
        <family val="2"/>
      </rPr>
      <t xml:space="preserve">）碳排放计算和管理？</t>
    </r>
  </si>
  <si>
    <r>
      <rPr>
        <sz val="8"/>
        <color rgb="FF1F2A30"/>
        <rFont val="Noto Sans CJK SC"/>
        <family val="2"/>
      </rPr>
      <t xml:space="preserve">减排目标是否已经或计划经科学碳目标倡议（</t>
    </r>
    <r>
      <rPr>
        <sz val="8"/>
        <color rgb="FF1F2A30"/>
        <rFont val="Arial"/>
        <family val="0"/>
        <charset val="1"/>
      </rPr>
      <t xml:space="preserve">SBTi</t>
    </r>
    <r>
      <rPr>
        <sz val="8"/>
        <color rgb="FF1F2A30"/>
        <rFont val="Noto Sans CJK SC"/>
        <family val="2"/>
      </rPr>
      <t xml:space="preserve">）批准（</t>
    </r>
    <r>
      <rPr>
        <sz val="8"/>
        <color rgb="FF1F2A30"/>
        <rFont val="Arial"/>
        <family val="0"/>
        <charset val="1"/>
      </rPr>
      <t xml:space="preserve">2028 </t>
    </r>
    <r>
      <rPr>
        <sz val="8"/>
        <color rgb="FF1F2A30"/>
        <rFont val="Noto Sans CJK SC"/>
        <family val="2"/>
      </rPr>
      <t xml:space="preserve">年前完成；战略供应商可能被提前要求）？</t>
    </r>
  </si>
  <si>
    <r>
      <rPr>
        <sz val="8"/>
        <color rgb="FF1F2A30"/>
        <rFont val="Noto Sans CJK SC"/>
        <family val="2"/>
      </rPr>
      <t xml:space="preserve">是否承诺供货 </t>
    </r>
    <r>
      <rPr>
        <sz val="8"/>
        <color rgb="FF1F2A30"/>
        <rFont val="Arial"/>
        <family val="0"/>
        <charset val="1"/>
      </rPr>
      <t xml:space="preserve">Autoliv </t>
    </r>
    <r>
      <rPr>
        <sz val="8"/>
        <color rgb="FF1F2A30"/>
        <rFont val="Noto Sans CJK SC"/>
        <family val="2"/>
      </rPr>
      <t xml:space="preserve">产品的全供应链 </t>
    </r>
    <r>
      <rPr>
        <sz val="8"/>
        <color rgb="FF1F2A30"/>
        <rFont val="Arial"/>
        <family val="0"/>
        <charset val="1"/>
      </rPr>
      <t xml:space="preserve">2040 </t>
    </r>
    <r>
      <rPr>
        <sz val="8"/>
        <color rgb="FF1F2A30"/>
        <rFont val="Noto Sans CJK SC"/>
        <family val="2"/>
      </rPr>
      <t xml:space="preserve">年净零排放，且较 </t>
    </r>
    <r>
      <rPr>
        <sz val="8"/>
        <color rgb="FF1F2A30"/>
        <rFont val="Arial"/>
        <family val="0"/>
        <charset val="1"/>
      </rPr>
      <t xml:space="preserve">2018 </t>
    </r>
    <r>
      <rPr>
        <sz val="8"/>
        <color rgb="FF1F2A30"/>
        <rFont val="Noto Sans CJK SC"/>
        <family val="2"/>
      </rPr>
      <t xml:space="preserve">基年 </t>
    </r>
    <r>
      <rPr>
        <sz val="8"/>
        <color rgb="FF1F2A30"/>
        <rFont val="Arial"/>
        <family val="0"/>
        <charset val="1"/>
      </rPr>
      <t xml:space="preserve">2030 </t>
    </r>
    <r>
      <rPr>
        <sz val="8"/>
        <color rgb="FF1F2A30"/>
        <rFont val="Noto Sans CJK SC"/>
        <family val="2"/>
      </rPr>
      <t xml:space="preserve">年绝对减排（范围一二三）≥</t>
    </r>
    <r>
      <rPr>
        <sz val="8"/>
        <color rgb="FF1F2A30"/>
        <rFont val="Arial"/>
        <family val="0"/>
        <charset val="1"/>
      </rPr>
      <t xml:space="preserve">30%</t>
    </r>
    <r>
      <rPr>
        <sz val="8"/>
        <color rgb="FF1F2A30"/>
        <rFont val="Noto Sans CJK SC"/>
        <family val="2"/>
      </rPr>
      <t xml:space="preserve">？</t>
    </r>
  </si>
  <si>
    <r>
      <rPr>
        <sz val="8"/>
        <color rgb="FF1F2A30"/>
        <rFont val="Noto Sans CJK SC"/>
        <family val="2"/>
      </rPr>
      <t xml:space="preserve">是否对所有主要温室气体（</t>
    </r>
    <r>
      <rPr>
        <sz val="8"/>
        <color rgb="FF1F2A30"/>
        <rFont val="Arial"/>
        <family val="0"/>
        <charset val="1"/>
      </rPr>
      <t xml:space="preserve">CO2, CH4, N2O, HFCs, PFCs, SF6</t>
    </r>
    <r>
      <rPr>
        <sz val="8"/>
        <color rgb="FF1F2A30"/>
        <rFont val="Noto Sans CJK SC"/>
        <family val="2"/>
      </rPr>
      <t xml:space="preserve">）进行核算</t>
    </r>
    <r>
      <rPr>
        <sz val="8"/>
        <color rgb="FF1F2A30"/>
        <rFont val="Arial"/>
        <family val="0"/>
        <charset val="1"/>
      </rPr>
      <t xml:space="preserve">?</t>
    </r>
  </si>
  <si>
    <r>
      <rPr>
        <sz val="8"/>
        <color rgb="FF1F2A30"/>
        <rFont val="Noto Sans CJK SC"/>
        <family val="2"/>
      </rPr>
      <t xml:space="preserve">是否采用国际标准</t>
    </r>
    <r>
      <rPr>
        <sz val="8"/>
        <color rgb="FF1F2A30"/>
        <rFont val="Arial"/>
        <family val="0"/>
        <charset val="1"/>
      </rPr>
      <t xml:space="preserve">/</t>
    </r>
    <r>
      <rPr>
        <sz val="8"/>
        <color rgb="FF1F2A30"/>
        <rFont val="Noto Sans CJK SC"/>
        <family val="2"/>
      </rPr>
      <t xml:space="preserve">国家标准对</t>
    </r>
    <r>
      <rPr>
        <sz val="8"/>
        <color rgb="FF1F2A30"/>
        <rFont val="Arial"/>
        <family val="0"/>
        <charset val="1"/>
      </rPr>
      <t xml:space="preserve">scope 1</t>
    </r>
    <r>
      <rPr>
        <sz val="8"/>
        <color rgb="FF1F2A30"/>
        <rFont val="Noto Sans CJK SC"/>
        <family val="2"/>
      </rPr>
      <t xml:space="preserve">（至少一种温室气体）进行核算？</t>
    </r>
  </si>
  <si>
    <r>
      <rPr>
        <sz val="8"/>
        <color rgb="FF1F2A30"/>
        <rFont val="Noto Sans CJK SC"/>
        <family val="2"/>
      </rPr>
      <t xml:space="preserve">是否采用国际标准</t>
    </r>
    <r>
      <rPr>
        <sz val="8"/>
        <color rgb="FF1F2A30"/>
        <rFont val="Arial"/>
        <family val="0"/>
        <charset val="1"/>
      </rPr>
      <t xml:space="preserve">/</t>
    </r>
    <r>
      <rPr>
        <sz val="8"/>
        <color rgb="FF1F2A30"/>
        <rFont val="Noto Sans CJK SC"/>
        <family val="2"/>
      </rPr>
      <t xml:space="preserve">国家标准对</t>
    </r>
    <r>
      <rPr>
        <sz val="8"/>
        <color rgb="FF1F2A30"/>
        <rFont val="Arial"/>
        <family val="0"/>
        <charset val="1"/>
      </rPr>
      <t xml:space="preserve">scope 2</t>
    </r>
    <r>
      <rPr>
        <sz val="8"/>
        <color rgb="FF1F2A30"/>
        <rFont val="Noto Sans CJK SC"/>
        <family val="2"/>
      </rPr>
      <t xml:space="preserve">（至少一种温室气体）进行核算？</t>
    </r>
  </si>
  <si>
    <r>
      <rPr>
        <sz val="8"/>
        <color rgb="FF1F2A30"/>
        <rFont val="Noto Sans CJK SC"/>
        <family val="2"/>
      </rPr>
      <t xml:space="preserve">是否采用国际标准</t>
    </r>
    <r>
      <rPr>
        <sz val="8"/>
        <color rgb="FF1F2A30"/>
        <rFont val="Arial"/>
        <family val="0"/>
        <charset val="1"/>
      </rPr>
      <t xml:space="preserve">/</t>
    </r>
    <r>
      <rPr>
        <sz val="8"/>
        <color rgb="FF1F2A30"/>
        <rFont val="Noto Sans CJK SC"/>
        <family val="2"/>
      </rPr>
      <t xml:space="preserve">国家标准对</t>
    </r>
    <r>
      <rPr>
        <sz val="8"/>
        <color rgb="FF1F2A30"/>
        <rFont val="Arial"/>
        <family val="0"/>
        <charset val="1"/>
      </rPr>
      <t xml:space="preserve">Scope 3</t>
    </r>
    <r>
      <rPr>
        <sz val="8"/>
        <color rgb="FF1F2A30"/>
        <rFont val="Noto Sans CJK SC"/>
        <family val="2"/>
      </rPr>
      <t xml:space="preserve">的温室气体（至少一种温室气体）进行核算？</t>
    </r>
  </si>
  <si>
    <r>
      <rPr>
        <sz val="8"/>
        <color rgb="FF1F2A30"/>
        <rFont val="Noto Sans CJK SC"/>
        <family val="2"/>
      </rPr>
      <t xml:space="preserve">是否采用适用标准（如 </t>
    </r>
    <r>
      <rPr>
        <sz val="8"/>
        <color rgb="FF1F2A30"/>
        <rFont val="Arial"/>
        <family val="0"/>
        <charset val="1"/>
      </rPr>
      <t xml:space="preserve">ISO 14067</t>
    </r>
    <r>
      <rPr>
        <sz val="8"/>
        <color rgb="FF1F2A30"/>
        <rFont val="Noto Sans CJK SC"/>
        <family val="2"/>
      </rPr>
      <t xml:space="preserve">）对交付 </t>
    </r>
    <r>
      <rPr>
        <sz val="8"/>
        <color rgb="FF1F2A30"/>
        <rFont val="Arial"/>
        <family val="0"/>
        <charset val="1"/>
      </rPr>
      <t xml:space="preserve">Autoliv </t>
    </r>
    <r>
      <rPr>
        <sz val="8"/>
        <color rgb="FF1F2A30"/>
        <rFont val="Noto Sans CJK SC"/>
        <family val="2"/>
      </rPr>
      <t xml:space="preserve">的产品进行产品碳足迹（</t>
    </r>
    <r>
      <rPr>
        <sz val="8"/>
        <color rgb="FF1F2A30"/>
        <rFont val="Arial"/>
        <family val="0"/>
        <charset val="1"/>
      </rPr>
      <t xml:space="preserve">PCF</t>
    </r>
    <r>
      <rPr>
        <sz val="8"/>
        <color rgb="FF1F2A30"/>
        <rFont val="Noto Sans CJK SC"/>
        <family val="2"/>
      </rPr>
      <t xml:space="preserve">）核算或核查？</t>
    </r>
  </si>
  <si>
    <r>
      <rPr>
        <sz val="8"/>
        <color rgb="FF1F2A30"/>
        <rFont val="Noto Sans CJK SC"/>
        <family val="2"/>
      </rPr>
      <t xml:space="preserve">是否能按 </t>
    </r>
    <r>
      <rPr>
        <sz val="8"/>
        <color rgb="FF1F2A30"/>
        <rFont val="Arial"/>
        <family val="0"/>
        <charset val="1"/>
      </rPr>
      <t xml:space="preserve">ISO 14067 + GHG Protocol + Catena-X Carbon Rulebook </t>
    </r>
    <r>
      <rPr>
        <sz val="8"/>
        <color rgb="FF1F2A30"/>
        <rFont val="Noto Sans CJK SC"/>
        <family val="2"/>
      </rPr>
      <t xml:space="preserve">核算交付 </t>
    </r>
    <r>
      <rPr>
        <sz val="8"/>
        <color rgb="FF1F2A30"/>
        <rFont val="Arial"/>
        <family val="0"/>
        <charset val="1"/>
      </rPr>
      <t xml:space="preserve">Autoliv </t>
    </r>
    <r>
      <rPr>
        <sz val="8"/>
        <color rgb="FF1F2A30"/>
        <rFont val="Noto Sans CJK SC"/>
        <family val="2"/>
      </rPr>
      <t xml:space="preserve">产品的</t>
    </r>
    <r>
      <rPr>
        <sz val="8"/>
        <color rgb="FF1F2A30"/>
        <rFont val="Arial"/>
        <family val="0"/>
        <charset val="1"/>
      </rPr>
      <t xml:space="preserve">"</t>
    </r>
    <r>
      <rPr>
        <sz val="8"/>
        <color rgb="FF1F2A30"/>
        <rFont val="Noto Sans CJK SC"/>
        <family val="2"/>
      </rPr>
      <t xml:space="preserve">从摇篮到 </t>
    </r>
    <r>
      <rPr>
        <sz val="8"/>
        <color rgb="FF1F2A30"/>
        <rFont val="Arial"/>
        <family val="0"/>
        <charset val="1"/>
      </rPr>
      <t xml:space="preserve">Autoliv </t>
    </r>
    <r>
      <rPr>
        <sz val="8"/>
        <color rgb="FF1F2A30"/>
        <rFont val="Noto Sans CJK SC"/>
        <family val="2"/>
      </rPr>
      <t xml:space="preserve">大门</t>
    </r>
    <r>
      <rPr>
        <sz val="8"/>
        <color rgb="FF1F2A30"/>
        <rFont val="Arial"/>
        <family val="0"/>
        <charset val="1"/>
      </rPr>
      <t xml:space="preserve">"</t>
    </r>
    <r>
      <rPr>
        <sz val="8"/>
        <color rgb="FF1F2A30"/>
        <rFont val="Noto Sans CJK SC"/>
        <family val="2"/>
      </rPr>
      <t xml:space="preserve">产品碳足迹（</t>
    </r>
    <r>
      <rPr>
        <sz val="8"/>
        <color rgb="FF1F2A30"/>
        <rFont val="Arial"/>
        <family val="0"/>
        <charset val="1"/>
      </rPr>
      <t xml:space="preserve">PCF</t>
    </r>
    <r>
      <rPr>
        <sz val="8"/>
        <color rgb="FF1F2A30"/>
        <rFont val="Noto Sans CJK SC"/>
        <family val="2"/>
      </rPr>
      <t xml:space="preserve">），并支持 </t>
    </r>
    <r>
      <rPr>
        <sz val="8"/>
        <color rgb="FF1F2A30"/>
        <rFont val="Arial"/>
        <family val="0"/>
        <charset val="1"/>
      </rPr>
      <t xml:space="preserve">ALV GHG </t>
    </r>
    <r>
      <rPr>
        <sz val="8"/>
        <color rgb="FF1F2A30"/>
        <rFont val="Noto Sans CJK SC"/>
        <family val="2"/>
      </rPr>
      <t xml:space="preserve">申报 </t>
    </r>
    <r>
      <rPr>
        <sz val="8"/>
        <color rgb="FF1F2A30"/>
        <rFont val="Arial"/>
        <family val="0"/>
        <charset val="1"/>
      </rPr>
      <t xml:space="preserve">/ CBAM / IMDS </t>
    </r>
    <r>
      <rPr>
        <sz val="8"/>
        <color rgb="FF1F2A30"/>
        <rFont val="Noto Sans CJK SC"/>
        <family val="2"/>
      </rPr>
      <t xml:space="preserve">报送？</t>
    </r>
  </si>
  <si>
    <r>
      <rPr>
        <sz val="8"/>
        <color rgb="FF1F2A30"/>
        <rFont val="Noto Sans CJK SC"/>
        <family val="2"/>
      </rPr>
      <t xml:space="preserve">是否在</t>
    </r>
    <r>
      <rPr>
        <sz val="8"/>
        <color rgb="FF1F2A30"/>
        <rFont val="Arial"/>
        <family val="0"/>
        <charset val="1"/>
      </rPr>
      <t xml:space="preserve">CDP/</t>
    </r>
    <r>
      <rPr>
        <sz val="8"/>
        <color rgb="FF1F2A30"/>
        <rFont val="Noto Sans CJK SC"/>
        <family val="2"/>
      </rPr>
      <t xml:space="preserve">政府网站等公共平台上公开温室气体排放数据？</t>
    </r>
  </si>
  <si>
    <r>
      <rPr>
        <sz val="8"/>
        <color rgb="FF1F2A30"/>
        <rFont val="Noto Sans CJK SC"/>
        <family val="2"/>
      </rPr>
      <t xml:space="preserve">申报的绿电比例是否有合规凭证支持（</t>
    </r>
    <r>
      <rPr>
        <sz val="8"/>
        <color rgb="FF1F2A30"/>
        <rFont val="Arial"/>
        <family val="0"/>
        <charset val="1"/>
      </rPr>
      <t xml:space="preserve">EAC/REC/I-REC/GO </t>
    </r>
    <r>
      <rPr>
        <sz val="8"/>
        <color rgb="FF1F2A30"/>
        <rFont val="Noto Sans CJK SC"/>
        <family val="2"/>
      </rPr>
      <t xml:space="preserve">或 </t>
    </r>
    <r>
      <rPr>
        <sz val="8"/>
        <color rgb="FF1F2A30"/>
        <rFont val="Arial"/>
        <family val="0"/>
        <charset val="1"/>
      </rPr>
      <t xml:space="preserve">PPA</t>
    </r>
    <r>
      <rPr>
        <sz val="8"/>
        <color rgb="FF1F2A30"/>
        <rFont val="Noto Sans CJK SC"/>
        <family val="2"/>
      </rPr>
      <t xml:space="preserve">，当年退役、注明电量与来源）？注：电网平均绿电占比与核电不计入。</t>
    </r>
  </si>
  <si>
    <r>
      <rPr>
        <sz val="8"/>
        <color rgb="FF1F2A30"/>
        <rFont val="Noto Sans CJK SC"/>
        <family val="2"/>
      </rPr>
      <t xml:space="preserve">是否已承诺 </t>
    </r>
    <r>
      <rPr>
        <sz val="8"/>
        <color rgb="FF1F2A30"/>
        <rFont val="Arial"/>
        <family val="0"/>
        <charset val="1"/>
      </rPr>
      <t xml:space="preserve">Autoliv </t>
    </r>
    <r>
      <rPr>
        <sz val="8"/>
        <color rgb="FF1F2A30"/>
        <rFont val="Noto Sans CJK SC"/>
        <family val="2"/>
      </rPr>
      <t xml:space="preserve">绿电路线图——自身用电 </t>
    </r>
    <r>
      <rPr>
        <sz val="8"/>
        <color rgb="FF1F2A30"/>
        <rFont val="Arial"/>
        <family val="0"/>
        <charset val="1"/>
      </rPr>
      <t xml:space="preserve">2025 </t>
    </r>
    <r>
      <rPr>
        <sz val="8"/>
        <color rgb="FF1F2A30"/>
        <rFont val="Noto Sans CJK SC"/>
        <family val="2"/>
      </rPr>
      <t xml:space="preserve">年 ≥</t>
    </r>
    <r>
      <rPr>
        <sz val="8"/>
        <color rgb="FF1F2A30"/>
        <rFont val="Arial"/>
        <family val="0"/>
        <charset val="1"/>
      </rPr>
      <t xml:space="preserve">30%</t>
    </r>
    <r>
      <rPr>
        <sz val="8"/>
        <color rgb="FF1F2A30"/>
        <rFont val="Noto Sans CJK SC"/>
        <family val="2"/>
      </rPr>
      <t xml:space="preserve">、</t>
    </r>
    <r>
      <rPr>
        <sz val="8"/>
        <color rgb="FF1F2A30"/>
        <rFont val="Arial"/>
        <family val="0"/>
        <charset val="1"/>
      </rPr>
      <t xml:space="preserve">2027 </t>
    </r>
    <r>
      <rPr>
        <sz val="8"/>
        <color rgb="FF1F2A30"/>
        <rFont val="Noto Sans CJK SC"/>
        <family val="2"/>
      </rPr>
      <t xml:space="preserve">年 ≥</t>
    </r>
    <r>
      <rPr>
        <sz val="8"/>
        <color rgb="FF1F2A30"/>
        <rFont val="Arial"/>
        <family val="0"/>
        <charset val="1"/>
      </rPr>
      <t xml:space="preserve">60%</t>
    </r>
    <r>
      <rPr>
        <sz val="8"/>
        <color rgb="FF1F2A30"/>
        <rFont val="Noto Sans CJK SC"/>
        <family val="2"/>
      </rPr>
      <t xml:space="preserve">、</t>
    </r>
    <r>
      <rPr>
        <sz val="8"/>
        <color rgb="FF1F2A30"/>
        <rFont val="Arial"/>
        <family val="0"/>
        <charset val="1"/>
      </rPr>
      <t xml:space="preserve">2030 </t>
    </r>
    <r>
      <rPr>
        <sz val="8"/>
        <color rgb="FF1F2A30"/>
        <rFont val="Noto Sans CJK SC"/>
        <family val="2"/>
      </rPr>
      <t xml:space="preserve">年 </t>
    </r>
    <r>
      <rPr>
        <sz val="8"/>
        <color rgb="FF1F2A30"/>
        <rFont val="Arial"/>
        <family val="0"/>
        <charset val="1"/>
      </rPr>
      <t xml:space="preserve">100%</t>
    </r>
    <r>
      <rPr>
        <sz val="8"/>
        <color rgb="FF1F2A30"/>
        <rFont val="Noto Sans CJK SC"/>
        <family val="2"/>
      </rPr>
      <t xml:space="preserve">，并要求上游 </t>
    </r>
    <r>
      <rPr>
        <sz val="8"/>
        <color rgb="FF1F2A30"/>
        <rFont val="Arial"/>
        <family val="0"/>
        <charset val="1"/>
      </rPr>
      <t xml:space="preserve">Tier-N </t>
    </r>
    <r>
      <rPr>
        <sz val="8"/>
        <color rgb="FF1F2A30"/>
        <rFont val="Noto Sans CJK SC"/>
        <family val="2"/>
      </rPr>
      <t xml:space="preserve">同步承诺？</t>
    </r>
  </si>
  <si>
    <r>
      <rPr>
        <sz val="8"/>
        <color rgb="FF1F2A30"/>
        <rFont val="Noto Sans CJK SC"/>
        <family val="2"/>
      </rPr>
      <t xml:space="preserve">过去一年工厂所消耗的能源来自可再生能源电力的比例大于 </t>
    </r>
    <r>
      <rPr>
        <sz val="8"/>
        <color rgb="FF1F2A30"/>
        <rFont val="Arial"/>
        <family val="0"/>
        <charset val="1"/>
      </rPr>
      <t xml:space="preserve">5%</t>
    </r>
    <r>
      <rPr>
        <sz val="8"/>
        <color rgb="FF1F2A30"/>
        <rFont val="Noto Sans CJK SC"/>
        <family val="2"/>
      </rPr>
      <t xml:space="preserve">？</t>
    </r>
  </si>
  <si>
    <r>
      <rPr>
        <sz val="8"/>
        <color rgb="FF1F2A30"/>
        <rFont val="Noto Sans CJK SC"/>
        <family val="2"/>
      </rPr>
      <t xml:space="preserve">过去一年生产场所消耗的能源来自可再生能源电力的比例大于 </t>
    </r>
    <r>
      <rPr>
        <sz val="8"/>
        <color rgb="FF1F2A30"/>
        <rFont val="Arial"/>
        <family val="0"/>
        <charset val="1"/>
      </rPr>
      <t xml:space="preserve">10%</t>
    </r>
    <r>
      <rPr>
        <sz val="8"/>
        <color rgb="FF1F2A30"/>
        <rFont val="Noto Sans CJK SC"/>
        <family val="2"/>
      </rPr>
      <t xml:space="preserve">？</t>
    </r>
  </si>
  <si>
    <r>
      <rPr>
        <sz val="8"/>
        <color rgb="FF1F2A30"/>
        <rFont val="Noto Sans CJK SC"/>
        <family val="2"/>
      </rPr>
      <t xml:space="preserve">过去一年生产场所消耗的能源来自可再生能源电力的比例大于 </t>
    </r>
    <r>
      <rPr>
        <sz val="8"/>
        <color rgb="FF1F2A30"/>
        <rFont val="Arial"/>
        <family val="0"/>
        <charset val="1"/>
      </rPr>
      <t xml:space="preserve">40%?</t>
    </r>
  </si>
  <si>
    <r>
      <rPr>
        <sz val="8"/>
        <color rgb="FF1F2A30"/>
        <rFont val="Noto Sans CJK SC"/>
        <family val="2"/>
      </rPr>
      <t xml:space="preserve">过去一年生产场所消耗的能源来自可再生能源电力的比例大于 </t>
    </r>
    <r>
      <rPr>
        <sz val="8"/>
        <color rgb="FF1F2A30"/>
        <rFont val="Arial"/>
        <family val="0"/>
        <charset val="1"/>
      </rPr>
      <t xml:space="preserve">80%?</t>
    </r>
  </si>
  <si>
    <r>
      <rPr>
        <sz val="8"/>
        <color rgb="FF1F2A30"/>
        <rFont val="Noto Sans CJK SC"/>
        <family val="2"/>
      </rPr>
      <t xml:space="preserve">在未来</t>
    </r>
    <r>
      <rPr>
        <sz val="8"/>
        <color rgb="FF1F2A30"/>
        <rFont val="Arial"/>
        <family val="0"/>
        <charset val="1"/>
      </rPr>
      <t xml:space="preserve">3</t>
    </r>
    <r>
      <rPr>
        <sz val="8"/>
        <color rgb="FF1F2A30"/>
        <rFont val="Noto Sans CJK SC"/>
        <family val="2"/>
      </rPr>
      <t xml:space="preserve">年内是否有计划提升可再生能源的比例 ？注：可再生能源占比如果已经为</t>
    </r>
    <r>
      <rPr>
        <sz val="8"/>
        <color rgb="FF1F2A30"/>
        <rFont val="Arial"/>
        <family val="0"/>
        <charset val="1"/>
      </rPr>
      <t xml:space="preserve">100%</t>
    </r>
    <r>
      <rPr>
        <sz val="8"/>
        <color rgb="FF1F2A30"/>
        <rFont val="Noto Sans CJK SC"/>
        <family val="2"/>
      </rPr>
      <t xml:space="preserve">，请选择 不适用。</t>
    </r>
  </si>
  <si>
    <r>
      <rPr>
        <sz val="8"/>
        <color rgb="FF1F2A30"/>
        <rFont val="Noto Sans CJK SC"/>
        <family val="2"/>
      </rPr>
      <t xml:space="preserve">近一年内是否有节能改造项目并达到预期效果</t>
    </r>
    <r>
      <rPr>
        <sz val="8"/>
        <color rgb="FF1F2A30"/>
        <rFont val="Arial"/>
        <family val="0"/>
        <charset val="1"/>
      </rPr>
      <t xml:space="preserve">?</t>
    </r>
  </si>
  <si>
    <r>
      <rPr>
        <sz val="8"/>
        <color rgb="FF1F2A30"/>
        <rFont val="Noto Sans CJK SC"/>
        <family val="2"/>
      </rPr>
      <t xml:space="preserve">是否使用</t>
    </r>
    <r>
      <rPr>
        <sz val="8"/>
        <color rgb="FF1F2A30"/>
        <rFont val="Arial"/>
        <family val="0"/>
        <charset val="1"/>
      </rPr>
      <t xml:space="preserve">LED</t>
    </r>
    <r>
      <rPr>
        <sz val="8"/>
        <color rgb="FF1F2A30"/>
        <rFont val="Noto Sans CJK SC"/>
        <family val="2"/>
      </rPr>
      <t xml:space="preserve">等节能型照明设备，且用占比不低于</t>
    </r>
    <r>
      <rPr>
        <sz val="8"/>
        <color rgb="FF1F2A30"/>
        <rFont val="Arial"/>
        <family val="0"/>
        <charset val="1"/>
      </rPr>
      <t xml:space="preserve">50%</t>
    </r>
    <r>
      <rPr>
        <sz val="8"/>
        <color rgb="FF1F2A30"/>
        <rFont val="Noto Sans CJK SC"/>
        <family val="2"/>
      </rPr>
      <t xml:space="preserve">？</t>
    </r>
  </si>
  <si>
    <r>
      <rPr>
        <sz val="8"/>
        <color rgb="FF1F2A30"/>
        <rFont val="Noto Sans CJK SC"/>
        <family val="2"/>
      </rPr>
      <t xml:space="preserve">是否为供货 </t>
    </r>
    <r>
      <rPr>
        <sz val="8"/>
        <color rgb="FF1F2A30"/>
        <rFont val="Arial"/>
        <family val="0"/>
        <charset val="1"/>
      </rPr>
      <t xml:space="preserve">Autoliv </t>
    </r>
    <r>
      <rPr>
        <sz val="8"/>
        <color rgb="FF1F2A30"/>
        <rFont val="Noto Sans CJK SC"/>
        <family val="2"/>
      </rPr>
      <t xml:space="preserve">的主要金属材料制定减排</t>
    </r>
    <r>
      <rPr>
        <sz val="8"/>
        <color rgb="FF1F2A30"/>
        <rFont val="Arial"/>
        <family val="0"/>
        <charset val="1"/>
      </rPr>
      <t xml:space="preserve">/</t>
    </r>
    <r>
      <rPr>
        <sz val="8"/>
        <color rgb="FF1F2A30"/>
        <rFont val="Noto Sans CJK SC"/>
        <family val="2"/>
      </rPr>
      <t xml:space="preserve">再生路线图——钢材 </t>
    </r>
    <r>
      <rPr>
        <sz val="8"/>
        <color rgb="FF1F2A30"/>
        <rFont val="Arial"/>
        <family val="0"/>
        <charset val="1"/>
      </rPr>
      <t xml:space="preserve">GHG </t>
    </r>
    <r>
      <rPr>
        <sz val="8"/>
        <color rgb="FF1F2A30"/>
        <rFont val="Noto Sans CJK SC"/>
        <family val="2"/>
      </rPr>
      <t xml:space="preserve">较 </t>
    </r>
    <r>
      <rPr>
        <sz val="8"/>
        <color rgb="FF1F2A30"/>
        <rFont val="Arial"/>
        <family val="0"/>
        <charset val="1"/>
      </rPr>
      <t xml:space="preserve">2018 </t>
    </r>
    <r>
      <rPr>
        <sz val="8"/>
        <color rgb="FF1F2A30"/>
        <rFont val="Noto Sans CJK SC"/>
        <family val="2"/>
      </rPr>
      <t xml:space="preserve">降 ≥</t>
    </r>
    <r>
      <rPr>
        <sz val="8"/>
        <color rgb="FF1F2A30"/>
        <rFont val="Arial"/>
        <family val="0"/>
        <charset val="1"/>
      </rPr>
      <t xml:space="preserve">35%</t>
    </r>
    <r>
      <rPr>
        <sz val="8"/>
        <color rgb="FF1F2A30"/>
        <rFont val="Noto Sans CJK SC"/>
        <family val="2"/>
      </rPr>
      <t xml:space="preserve">（</t>
    </r>
    <r>
      <rPr>
        <sz val="8"/>
        <color rgb="FF1F2A30"/>
        <rFont val="Arial"/>
        <family val="0"/>
        <charset val="1"/>
      </rPr>
      <t xml:space="preserve">2030</t>
    </r>
    <r>
      <rPr>
        <sz val="8"/>
        <color rgb="FF1F2A30"/>
        <rFont val="Noto Sans CJK SC"/>
        <family val="2"/>
      </rPr>
      <t xml:space="preserve">）、再生铝 ≥</t>
    </r>
    <r>
      <rPr>
        <sz val="8"/>
        <color rgb="FF1F2A30"/>
        <rFont val="Arial"/>
        <family val="0"/>
        <charset val="1"/>
      </rPr>
      <t xml:space="preserve">75%</t>
    </r>
    <r>
      <rPr>
        <sz val="8"/>
        <color rgb="FF1F2A30"/>
        <rFont val="Noto Sans CJK SC"/>
        <family val="2"/>
      </rPr>
      <t xml:space="preserve">（或 </t>
    </r>
    <r>
      <rPr>
        <sz val="8"/>
        <color rgb="FF1F2A30"/>
        <rFont val="Arial"/>
        <family val="0"/>
        <charset val="1"/>
      </rPr>
      <t xml:space="preserve">&lt;4kg CO2e/kg</t>
    </r>
    <r>
      <rPr>
        <sz val="8"/>
        <color rgb="FF1F2A30"/>
        <rFont val="Noto Sans CJK SC"/>
        <family val="2"/>
      </rPr>
      <t xml:space="preserve">）、再生镁 ≥</t>
    </r>
    <r>
      <rPr>
        <sz val="8"/>
        <color rgb="FF1F2A30"/>
        <rFont val="Arial"/>
        <family val="0"/>
        <charset val="1"/>
      </rPr>
      <t xml:space="preserve">40%</t>
    </r>
    <r>
      <rPr>
        <sz val="8"/>
        <color rgb="FF1F2A30"/>
        <rFont val="Noto Sans CJK SC"/>
        <family val="2"/>
      </rPr>
      <t xml:space="preserve">（或 </t>
    </r>
    <r>
      <rPr>
        <sz val="8"/>
        <color rgb="FF1F2A30"/>
        <rFont val="Arial"/>
        <family val="0"/>
        <charset val="1"/>
      </rPr>
      <t xml:space="preserve">&lt;10kg CO2e/kg</t>
    </r>
    <r>
      <rPr>
        <sz val="8"/>
        <color rgb="FF1F2A30"/>
        <rFont val="Noto Sans CJK SC"/>
        <family val="2"/>
      </rPr>
      <t xml:space="preserve">），并在 </t>
    </r>
    <r>
      <rPr>
        <sz val="8"/>
        <color rgb="FF1F2A30"/>
        <rFont val="Arial"/>
        <family val="0"/>
        <charset val="1"/>
      </rPr>
      <t xml:space="preserve">IMDS </t>
    </r>
    <r>
      <rPr>
        <sz val="8"/>
        <color rgb="FF1F2A30"/>
        <rFont val="Noto Sans CJK SC"/>
        <family val="2"/>
      </rPr>
      <t xml:space="preserve">记录再生比例？</t>
    </r>
  </si>
  <si>
    <r>
      <rPr>
        <sz val="8"/>
        <color rgb="FF1F2A30"/>
        <rFont val="Noto Sans CJK SC"/>
        <family val="2"/>
      </rPr>
      <t xml:space="preserve">是否为树脂与织物类材料制定减排路线图（</t>
    </r>
    <r>
      <rPr>
        <sz val="8"/>
        <color rgb="FF1F2A30"/>
        <rFont val="Arial"/>
        <family val="0"/>
        <charset val="1"/>
      </rPr>
      <t xml:space="preserve">GHG </t>
    </r>
    <r>
      <rPr>
        <sz val="8"/>
        <color rgb="FF1F2A30"/>
        <rFont val="Noto Sans CJK SC"/>
        <family val="2"/>
      </rPr>
      <t xml:space="preserve">较 </t>
    </r>
    <r>
      <rPr>
        <sz val="8"/>
        <color rgb="FF1F2A30"/>
        <rFont val="Arial"/>
        <family val="0"/>
        <charset val="1"/>
      </rPr>
      <t xml:space="preserve">2018 </t>
    </r>
    <r>
      <rPr>
        <sz val="8"/>
        <color rgb="FF1F2A30"/>
        <rFont val="Noto Sans CJK SC"/>
        <family val="2"/>
      </rPr>
      <t xml:space="preserve">降 ≥</t>
    </r>
    <r>
      <rPr>
        <sz val="8"/>
        <color rgb="FF1F2A30"/>
        <rFont val="Arial"/>
        <family val="0"/>
        <charset val="1"/>
      </rPr>
      <t xml:space="preserve">35%</t>
    </r>
    <r>
      <rPr>
        <sz val="8"/>
        <color rgb="FF1F2A30"/>
        <rFont val="Noto Sans CJK SC"/>
        <family val="2"/>
      </rPr>
      <t xml:space="preserve">，</t>
    </r>
    <r>
      <rPr>
        <sz val="8"/>
        <color rgb="FF1F2A30"/>
        <rFont val="Arial"/>
        <family val="0"/>
        <charset val="1"/>
      </rPr>
      <t xml:space="preserve">2030</t>
    </r>
    <r>
      <rPr>
        <sz val="8"/>
        <color rgb="FF1F2A30"/>
        <rFont val="Noto Sans CJK SC"/>
        <family val="2"/>
      </rPr>
      <t xml:space="preserve">），并在 </t>
    </r>
    <r>
      <rPr>
        <sz val="8"/>
        <color rgb="FF1F2A30"/>
        <rFont val="Arial"/>
        <family val="0"/>
        <charset val="1"/>
      </rPr>
      <t xml:space="preserve">IMDS </t>
    </r>
    <r>
      <rPr>
        <sz val="8"/>
        <color rgb="FF1F2A30"/>
        <rFont val="Noto Sans CJK SC"/>
        <family val="2"/>
      </rPr>
      <t xml:space="preserve">记录再生比例？</t>
    </r>
  </si>
  <si>
    <r>
      <rPr>
        <sz val="8"/>
        <color rgb="FF1F2A30"/>
        <rFont val="Noto Sans CJK SC"/>
        <family val="2"/>
      </rPr>
      <t xml:space="preserve">是否使用以生物质燃料、天然气、电力为动力的运输工具进行物料运输或者作为员工班车</t>
    </r>
    <r>
      <rPr>
        <sz val="8"/>
        <color rgb="FF1F2A30"/>
        <rFont val="Arial"/>
        <family val="0"/>
        <charset val="1"/>
      </rPr>
      <t xml:space="preserve">?</t>
    </r>
  </si>
  <si>
    <r>
      <rPr>
        <sz val="8"/>
        <color rgb="FF1F2A30"/>
        <rFont val="Noto Sans CJK SC"/>
        <family val="2"/>
      </rPr>
      <t xml:space="preserve">是否在 </t>
    </r>
    <r>
      <rPr>
        <sz val="8"/>
        <color rgb="FF1F2A30"/>
        <rFont val="Arial"/>
        <family val="0"/>
        <charset val="1"/>
      </rPr>
      <t xml:space="preserve">IMDS </t>
    </r>
    <r>
      <rPr>
        <sz val="8"/>
        <color rgb="FF1F2A30"/>
        <rFont val="Noto Sans CJK SC"/>
        <family val="2"/>
      </rPr>
      <t xml:space="preserve">中完整、准确填报全部材料的</t>
    </r>
    <r>
      <rPr>
        <sz val="8"/>
        <color rgb="FF1F2A30"/>
        <rFont val="Arial"/>
        <family val="0"/>
        <charset val="1"/>
      </rPr>
      <t xml:space="preserve">"</t>
    </r>
    <r>
      <rPr>
        <sz val="8"/>
        <color rgb="FF1F2A30"/>
        <rFont val="Noto Sans CJK SC"/>
        <family val="2"/>
      </rPr>
      <t xml:space="preserve">材料来源（含循环材料）</t>
    </r>
    <r>
      <rPr>
        <sz val="8"/>
        <color rgb="FF1F2A30"/>
        <rFont val="Arial"/>
        <family val="0"/>
        <charset val="1"/>
      </rPr>
      <t xml:space="preserve">"</t>
    </r>
    <r>
      <rPr>
        <sz val="8"/>
        <color rgb="FF1F2A30"/>
        <rFont val="Noto Sans CJK SC"/>
        <family val="2"/>
      </rPr>
      <t xml:space="preserve">字段？</t>
    </r>
  </si>
  <si>
    <r>
      <rPr>
        <sz val="8"/>
        <color rgb="FF1F2A30"/>
        <rFont val="Noto Sans CJK SC"/>
        <family val="2"/>
      </rPr>
      <t xml:space="preserve">工厂的废水回用率是否大于</t>
    </r>
    <r>
      <rPr>
        <sz val="8"/>
        <color rgb="FF1F2A30"/>
        <rFont val="Arial"/>
        <family val="0"/>
        <charset val="1"/>
      </rPr>
      <t xml:space="preserve">30%</t>
    </r>
    <r>
      <rPr>
        <sz val="8"/>
        <color rgb="FF1F2A30"/>
        <rFont val="Noto Sans CJK SC"/>
        <family val="2"/>
      </rPr>
      <t xml:space="preserve">？</t>
    </r>
  </si>
  <si>
    <r>
      <rPr>
        <sz val="8"/>
        <color rgb="FF1F2A30"/>
        <rFont val="Noto Sans CJK SC"/>
        <family val="2"/>
      </rPr>
      <t xml:space="preserve">工厂的废水回用率是否大于</t>
    </r>
    <r>
      <rPr>
        <sz val="8"/>
        <color rgb="FF1F2A30"/>
        <rFont val="Arial"/>
        <family val="0"/>
        <charset val="1"/>
      </rPr>
      <t xml:space="preserve">60%</t>
    </r>
    <r>
      <rPr>
        <sz val="8"/>
        <color rgb="FF1F2A30"/>
        <rFont val="Noto Sans CJK SC"/>
        <family val="2"/>
      </rPr>
      <t xml:space="preserve">？</t>
    </r>
  </si>
  <si>
    <r>
      <rPr>
        <sz val="8"/>
        <color rgb="FF1F2A30"/>
        <rFont val="Noto Sans CJK SC"/>
        <family val="2"/>
      </rPr>
      <t xml:space="preserve">工厂工业固体废物综合利用率是否大于</t>
    </r>
    <r>
      <rPr>
        <sz val="8"/>
        <color rgb="FF1F2A30"/>
        <rFont val="Arial"/>
        <family val="0"/>
        <charset val="1"/>
      </rPr>
      <t xml:space="preserve">40%</t>
    </r>
    <r>
      <rPr>
        <sz val="8"/>
        <color rgb="FF1F2A30"/>
        <rFont val="Noto Sans CJK SC"/>
        <family val="2"/>
      </rPr>
      <t xml:space="preserve">？</t>
    </r>
  </si>
  <si>
    <r>
      <rPr>
        <sz val="8"/>
        <color rgb="FF1F2A30"/>
        <rFont val="Noto Sans CJK SC"/>
        <family val="2"/>
      </rPr>
      <t xml:space="preserve">是否对产品生产过程中的环境影响进行了评估</t>
    </r>
    <r>
      <rPr>
        <sz val="8"/>
        <color rgb="FF1F2A30"/>
        <rFont val="Arial"/>
        <family val="0"/>
        <charset val="1"/>
      </rPr>
      <t xml:space="preserve">(</t>
    </r>
    <r>
      <rPr>
        <sz val="8"/>
        <color rgb="FF1F2A30"/>
        <rFont val="Noto Sans CJK SC"/>
        <family val="2"/>
      </rPr>
      <t xml:space="preserve">气候变化</t>
    </r>
    <r>
      <rPr>
        <sz val="8"/>
        <color rgb="FF1F2A30"/>
        <rFont val="Arial"/>
        <family val="0"/>
        <charset val="1"/>
      </rPr>
      <t xml:space="preserve">/</t>
    </r>
    <r>
      <rPr>
        <sz val="8"/>
        <color rgb="FF1F2A30"/>
        <rFont val="Noto Sans CJK SC"/>
        <family val="2"/>
      </rPr>
      <t xml:space="preserve">全球变暖之外的影响）？</t>
    </r>
  </si>
  <si>
    <r>
      <rPr>
        <sz val="8"/>
        <color rgb="FF1F2A30"/>
        <rFont val="Noto Sans CJK SC"/>
        <family val="2"/>
      </rPr>
      <t xml:space="preserve">计划</t>
    </r>
    <r>
      <rPr>
        <sz val="8"/>
        <color rgb="FF1F2A30"/>
        <rFont val="Arial"/>
        <family val="0"/>
        <charset val="1"/>
      </rPr>
      <t xml:space="preserve">3</t>
    </r>
    <r>
      <rPr>
        <sz val="8"/>
        <color rgb="FF1F2A30"/>
        <rFont val="Noto Sans CJK SC"/>
        <family val="2"/>
      </rPr>
      <t xml:space="preserve">年内进一步降低产品中禁用或者限用物质的使用？</t>
    </r>
  </si>
  <si>
    <r>
      <rPr>
        <sz val="8"/>
        <color rgb="FF1F2A30"/>
        <rFont val="Noto Sans CJK SC"/>
        <family val="2"/>
      </rPr>
      <t xml:space="preserve">产品中的回收材料比例是否大于</t>
    </r>
    <r>
      <rPr>
        <sz val="8"/>
        <color rgb="FF1F2A30"/>
        <rFont val="Arial"/>
        <family val="0"/>
        <charset val="1"/>
      </rPr>
      <t xml:space="preserve">5%</t>
    </r>
    <r>
      <rPr>
        <sz val="8"/>
        <color rgb="FF1F2A30"/>
        <rFont val="Noto Sans CJK SC"/>
        <family val="2"/>
      </rPr>
      <t xml:space="preserve">？</t>
    </r>
  </si>
  <si>
    <r>
      <rPr>
        <sz val="8"/>
        <color rgb="FF1F2A30"/>
        <rFont val="Noto Sans CJK SC"/>
        <family val="2"/>
      </rPr>
      <t xml:space="preserve">产品中的回收材料比例是否大于</t>
    </r>
    <r>
      <rPr>
        <sz val="8"/>
        <color rgb="FF1F2A30"/>
        <rFont val="Arial"/>
        <family val="0"/>
        <charset val="1"/>
      </rPr>
      <t xml:space="preserve">15%</t>
    </r>
    <r>
      <rPr>
        <sz val="8"/>
        <color rgb="FF1F2A30"/>
        <rFont val="Noto Sans CJK SC"/>
        <family val="2"/>
      </rPr>
      <t xml:space="preserve">？</t>
    </r>
  </si>
  <si>
    <r>
      <rPr>
        <sz val="8"/>
        <color rgb="FF1F2A30"/>
        <rFont val="Noto Sans CJK SC"/>
        <family val="2"/>
      </rPr>
      <t xml:space="preserve">产品中的回收材料比例是否大于</t>
    </r>
    <r>
      <rPr>
        <sz val="8"/>
        <color rgb="FF1F2A30"/>
        <rFont val="Arial"/>
        <family val="0"/>
        <charset val="1"/>
      </rPr>
      <t xml:space="preserve">30%</t>
    </r>
    <r>
      <rPr>
        <sz val="8"/>
        <color rgb="FF1F2A30"/>
        <rFont val="Noto Sans CJK SC"/>
        <family val="2"/>
      </rPr>
      <t xml:space="preserve">？</t>
    </r>
  </si>
  <si>
    <r>
      <rPr>
        <sz val="8"/>
        <color rgb="FF1F2A30"/>
        <rFont val="Noto Sans CJK SC"/>
        <family val="2"/>
      </rPr>
      <t xml:space="preserve">产品包装实际回收率大于</t>
    </r>
    <r>
      <rPr>
        <sz val="8"/>
        <color rgb="FF1F2A30"/>
        <rFont val="Arial"/>
        <family val="0"/>
        <charset val="1"/>
      </rPr>
      <t xml:space="preserve">50%?</t>
    </r>
  </si>
  <si>
    <r>
      <rPr>
        <sz val="8"/>
        <color rgb="FF1F2A30"/>
        <rFont val="Noto Sans CJK SC"/>
        <family val="2"/>
      </rPr>
      <t xml:space="preserve">未来</t>
    </r>
    <r>
      <rPr>
        <sz val="8"/>
        <color rgb="FF1F2A30"/>
        <rFont val="Arial"/>
        <family val="0"/>
        <charset val="1"/>
      </rPr>
      <t xml:space="preserve">3</t>
    </r>
    <r>
      <rPr>
        <sz val="8"/>
        <color rgb="FF1F2A30"/>
        <rFont val="Noto Sans CJK SC"/>
        <family val="2"/>
      </rPr>
      <t xml:space="preserve">年内是否有计划增加回收材料比例的计划？</t>
    </r>
  </si>
  <si>
    <r>
      <rPr>
        <sz val="8"/>
        <color rgb="FF1F2A30"/>
        <rFont val="Noto Sans CJK SC"/>
        <family val="2"/>
      </rPr>
      <t xml:space="preserve">采用轻量化的包装设计</t>
    </r>
    <r>
      <rPr>
        <sz val="8"/>
        <color rgb="FF1F2A30"/>
        <rFont val="Arial"/>
        <family val="0"/>
        <charset val="1"/>
      </rPr>
      <t xml:space="preserve">?</t>
    </r>
  </si>
  <si>
    <r>
      <rPr>
        <sz val="8"/>
        <color rgb="FF1F2A30"/>
        <rFont val="Noto Sans CJK SC"/>
        <family val="2"/>
      </rPr>
      <t xml:space="preserve">产品物流是否使用循环周转箱</t>
    </r>
    <r>
      <rPr>
        <sz val="8"/>
        <color rgb="FF1F2A30"/>
        <rFont val="Arial"/>
        <family val="0"/>
        <charset val="1"/>
      </rPr>
      <t xml:space="preserve">?</t>
    </r>
  </si>
  <si>
    <r>
      <rPr>
        <sz val="8"/>
        <color rgb="FF1F2A30"/>
        <rFont val="Noto Sans CJK SC"/>
        <family val="2"/>
      </rPr>
      <t xml:space="preserve">是否按属地法规（如欧盟 </t>
    </r>
    <r>
      <rPr>
        <sz val="8"/>
        <color rgb="FF1F2A30"/>
        <rFont val="Arial"/>
        <family val="0"/>
        <charset val="1"/>
      </rPr>
      <t xml:space="preserve">EUDR</t>
    </r>
    <r>
      <rPr>
        <sz val="8"/>
        <color rgb="FF1F2A30"/>
        <rFont val="Noto Sans CJK SC"/>
        <family val="2"/>
      </rPr>
      <t xml:space="preserve">）确保供货 </t>
    </r>
    <r>
      <rPr>
        <sz val="8"/>
        <color rgb="FF1F2A30"/>
        <rFont val="Arial"/>
        <family val="0"/>
        <charset val="1"/>
      </rPr>
      <t xml:space="preserve">Autoliv </t>
    </r>
    <r>
      <rPr>
        <sz val="8"/>
        <color rgb="FF1F2A30"/>
        <rFont val="Noto Sans CJK SC"/>
        <family val="2"/>
      </rPr>
      <t xml:space="preserve">的产品零毁林？</t>
    </r>
  </si>
  <si>
    <r>
      <rPr>
        <sz val="8"/>
        <color rgb="FF1F2A30"/>
        <rFont val="Noto Sans CJK SC"/>
        <family val="2"/>
      </rPr>
      <t xml:space="preserve">上游供应商是否是</t>
    </r>
    <r>
      <rPr>
        <sz val="8"/>
        <color rgb="FF1F2A30"/>
        <rFont val="Arial"/>
        <family val="0"/>
        <charset val="1"/>
      </rPr>
      <t xml:space="preserve">RCI/RMI/LEM/ASI</t>
    </r>
    <r>
      <rPr>
        <sz val="8"/>
        <color rgb="FF1F2A30"/>
        <rFont val="Noto Sans CJK SC"/>
        <family val="2"/>
      </rPr>
      <t xml:space="preserve">等成员</t>
    </r>
    <r>
      <rPr>
        <sz val="8"/>
        <color rgb="FF1F2A30"/>
        <rFont val="Arial"/>
        <family val="0"/>
        <charset val="1"/>
      </rPr>
      <t xml:space="preserve">?</t>
    </r>
  </si>
  <si>
    <r>
      <rPr>
        <sz val="8"/>
        <color rgb="FF1F2A30"/>
        <rFont val="Noto Sans CJK SC"/>
        <family val="2"/>
      </rPr>
      <t xml:space="preserve">是否填写了</t>
    </r>
    <r>
      <rPr>
        <sz val="8"/>
        <color rgb="FF1F2A30"/>
        <rFont val="Arial"/>
        <family val="0"/>
        <charset val="1"/>
      </rPr>
      <t xml:space="preserve">CMRT</t>
    </r>
    <r>
      <rPr>
        <sz val="8"/>
        <color rgb="FF1F2A30"/>
        <rFont val="Noto Sans CJK SC"/>
        <family val="2"/>
      </rPr>
      <t xml:space="preserve">（冲突矿产报告模板） 或者 </t>
    </r>
    <r>
      <rPr>
        <sz val="8"/>
        <color rgb="FF1F2A30"/>
        <rFont val="Arial"/>
        <family val="0"/>
        <charset val="1"/>
      </rPr>
      <t xml:space="preserve">CRT(</t>
    </r>
    <r>
      <rPr>
        <sz val="8"/>
        <color rgb="FF1F2A30"/>
        <rFont val="Noto Sans CJK SC"/>
        <family val="2"/>
      </rPr>
      <t xml:space="preserve">钴报告模板）？</t>
    </r>
  </si>
  <si>
    <r>
      <rPr>
        <sz val="8"/>
        <color rgb="FF1F2A30"/>
        <rFont val="Noto Sans CJK SC"/>
        <family val="2"/>
      </rPr>
      <t xml:space="preserve">是否按 </t>
    </r>
    <r>
      <rPr>
        <sz val="8"/>
        <color rgb="FF1F2A30"/>
        <rFont val="Arial"/>
        <family val="0"/>
        <charset val="1"/>
      </rPr>
      <t xml:space="preserve">Autoliv </t>
    </r>
    <r>
      <rPr>
        <sz val="8"/>
        <color rgb="FF1F2A30"/>
        <rFont val="Noto Sans CJK SC"/>
        <family val="2"/>
      </rPr>
      <t xml:space="preserve">要求提交公司级 </t>
    </r>
    <r>
      <rPr>
        <sz val="8"/>
        <color rgb="FF1F2A30"/>
        <rFont val="Arial"/>
        <family val="0"/>
        <charset val="1"/>
      </rPr>
      <t xml:space="preserve">CMRT</t>
    </r>
    <r>
      <rPr>
        <sz val="8"/>
        <color rgb="FF1F2A30"/>
        <rFont val="Noto Sans CJK SC"/>
        <family val="2"/>
      </rPr>
      <t xml:space="preserve">（</t>
    </r>
    <r>
      <rPr>
        <sz val="8"/>
        <color rgb="FF1F2A30"/>
        <rFont val="Arial"/>
        <family val="0"/>
        <charset val="1"/>
      </rPr>
      <t xml:space="preserve">3TG</t>
    </r>
    <r>
      <rPr>
        <sz val="8"/>
        <color rgb="FF1F2A30"/>
        <rFont val="Noto Sans CJK SC"/>
        <family val="2"/>
      </rPr>
      <t xml:space="preserve">）、</t>
    </r>
    <r>
      <rPr>
        <sz val="8"/>
        <color rgb="FF1F2A30"/>
        <rFont val="Arial"/>
        <family val="0"/>
        <charset val="1"/>
      </rPr>
      <t xml:space="preserve">EMRT</t>
    </r>
    <r>
      <rPr>
        <sz val="8"/>
        <color rgb="FF1F2A30"/>
        <rFont val="Noto Sans CJK SC"/>
        <family val="2"/>
      </rPr>
      <t xml:space="preserve">（钴</t>
    </r>
    <r>
      <rPr>
        <sz val="8"/>
        <color rgb="FF1F2A30"/>
        <rFont val="Arial"/>
        <family val="0"/>
        <charset val="1"/>
      </rPr>
      <t xml:space="preserve">/</t>
    </r>
    <r>
      <rPr>
        <sz val="8"/>
        <color rgb="FF1F2A30"/>
        <rFont val="Noto Sans CJK SC"/>
        <family val="2"/>
      </rPr>
      <t xml:space="preserve">云母；</t>
    </r>
    <r>
      <rPr>
        <sz val="8"/>
        <color rgb="FF1F2A30"/>
        <rFont val="Arial"/>
        <family val="0"/>
        <charset val="1"/>
      </rPr>
      <t xml:space="preserve">2025 </t>
    </r>
    <r>
      <rPr>
        <sz val="8"/>
        <color rgb="FF1F2A30"/>
        <rFont val="Noto Sans CJK SC"/>
        <family val="2"/>
      </rPr>
      <t xml:space="preserve">或扩至锂</t>
    </r>
    <r>
      <rPr>
        <sz val="8"/>
        <color rgb="FF1F2A30"/>
        <rFont val="Arial"/>
        <family val="0"/>
        <charset val="1"/>
      </rPr>
      <t xml:space="preserve">/</t>
    </r>
    <r>
      <rPr>
        <sz val="8"/>
        <color rgb="FF1F2A30"/>
        <rFont val="Noto Sans CJK SC"/>
        <family val="2"/>
      </rPr>
      <t xml:space="preserve">镍</t>
    </r>
    <r>
      <rPr>
        <sz val="8"/>
        <color rgb="FF1F2A30"/>
        <rFont val="Arial"/>
        <family val="0"/>
        <charset val="1"/>
      </rPr>
      <t xml:space="preserve">/</t>
    </r>
    <r>
      <rPr>
        <sz val="8"/>
        <color rgb="FF1F2A30"/>
        <rFont val="Noto Sans CJK SC"/>
        <family val="2"/>
      </rPr>
      <t xml:space="preserve">铜</t>
    </r>
    <r>
      <rPr>
        <sz val="8"/>
        <color rgb="FF1F2A30"/>
        <rFont val="Arial"/>
        <family val="0"/>
        <charset val="1"/>
      </rPr>
      <t xml:space="preserve">/</t>
    </r>
    <r>
      <rPr>
        <sz val="8"/>
        <color rgb="FF1F2A30"/>
        <rFont val="Noto Sans CJK SC"/>
        <family val="2"/>
      </rPr>
      <t xml:space="preserve">石墨）与关键原材料 </t>
    </r>
    <r>
      <rPr>
        <sz val="8"/>
        <color rgb="FF1F2A30"/>
        <rFont val="Arial"/>
        <family val="0"/>
        <charset val="1"/>
      </rPr>
      <t xml:space="preserve">AMRT </t>
    </r>
    <r>
      <rPr>
        <sz val="8"/>
        <color rgb="FF1F2A30"/>
        <rFont val="Noto Sans CJK SC"/>
        <family val="2"/>
      </rPr>
      <t xml:space="preserve">年报，并实现上游供应商 </t>
    </r>
    <r>
      <rPr>
        <sz val="8"/>
        <color rgb="FF1F2A30"/>
        <rFont val="Arial"/>
        <family val="0"/>
        <charset val="1"/>
      </rPr>
      <t xml:space="preserve">100% </t>
    </r>
    <r>
      <rPr>
        <sz val="8"/>
        <color rgb="FF1F2A30"/>
        <rFont val="Noto Sans CJK SC"/>
        <family val="2"/>
      </rPr>
      <t xml:space="preserve">回收率（无豁免）？</t>
    </r>
  </si>
  <si>
    <r>
      <rPr>
        <sz val="8"/>
        <color rgb="FF1F2A30"/>
        <rFont val="Noto Sans CJK SC"/>
        <family val="2"/>
      </rPr>
      <t xml:space="preserve">若 </t>
    </r>
    <r>
      <rPr>
        <sz val="8"/>
        <color rgb="FF1F2A30"/>
        <rFont val="Arial"/>
        <family val="0"/>
        <charset val="1"/>
      </rPr>
      <t xml:space="preserve">CMRT/EMRT </t>
    </r>
    <r>
      <rPr>
        <sz val="8"/>
        <color rgb="FF1F2A30"/>
        <rFont val="Noto Sans CJK SC"/>
        <family val="2"/>
      </rPr>
      <t xml:space="preserve">发现受制裁或高风险冶炼厂，是否能按零件号追溯 </t>
    </r>
    <r>
      <rPr>
        <sz val="8"/>
        <color rgb="FF1F2A30"/>
        <rFont val="Arial"/>
        <family val="0"/>
        <charset val="1"/>
      </rPr>
      <t xml:space="preserve">3TG / </t>
    </r>
    <r>
      <rPr>
        <sz val="8"/>
        <color rgb="FF1F2A30"/>
        <rFont val="Noto Sans CJK SC"/>
        <family val="2"/>
      </rPr>
      <t xml:space="preserve">扩展矿产来源并立即移除替换？</t>
    </r>
  </si>
  <si>
    <r>
      <rPr>
        <sz val="8"/>
        <color rgb="FF1F2A30"/>
        <rFont val="Noto Sans CJK SC"/>
        <family val="2"/>
      </rPr>
      <t xml:space="preserve">是否已建立促进供应链可追溯与透明的管理体系，并按 </t>
    </r>
    <r>
      <rPr>
        <sz val="8"/>
        <color rgb="FF1F2A30"/>
        <rFont val="Arial"/>
        <family val="0"/>
        <charset val="1"/>
      </rPr>
      <t xml:space="preserve">OECD </t>
    </r>
    <r>
      <rPr>
        <sz val="8"/>
        <color rgb="FF1F2A30"/>
        <rFont val="Noto Sans CJK SC"/>
        <family val="2"/>
      </rPr>
      <t xml:space="preserve">尽职调查五步框架开展矿产尽调？</t>
    </r>
  </si>
  <si>
    <r>
      <rPr>
        <sz val="8"/>
        <color rgb="FF1F2A30"/>
        <rFont val="Noto Sans CJK SC"/>
        <family val="2"/>
      </rPr>
      <t xml:space="preserve">是否确认过高度关注生产材料的开采和生产过程中没有侵犯人权</t>
    </r>
    <r>
      <rPr>
        <sz val="8"/>
        <color rgb="FF1F2A30"/>
        <rFont val="Arial"/>
        <family val="0"/>
        <charset val="1"/>
      </rPr>
      <t xml:space="preserve">?</t>
    </r>
  </si>
  <si>
    <r>
      <rPr>
        <sz val="8"/>
        <color rgb="FF1F2A30"/>
        <rFont val="Noto Sans CJK SC"/>
        <family val="2"/>
      </rPr>
      <t xml:space="preserve">工厂女性正式员工员工比例是否超过</t>
    </r>
    <r>
      <rPr>
        <sz val="8"/>
        <color rgb="FF1F2A30"/>
        <rFont val="Arial"/>
        <family val="0"/>
        <charset val="1"/>
      </rPr>
      <t xml:space="preserve">20%</t>
    </r>
    <r>
      <rPr>
        <sz val="8"/>
        <color rgb="FF1F2A30"/>
        <rFont val="Noto Sans CJK SC"/>
        <family val="2"/>
      </rPr>
      <t xml:space="preserve">？</t>
    </r>
  </si>
  <si>
    <r>
      <rPr>
        <sz val="8"/>
        <color rgb="FF1F2A30"/>
        <rFont val="Noto Sans CJK SC"/>
        <family val="2"/>
      </rPr>
      <t xml:space="preserve">工厂管理层员工（</t>
    </r>
    <r>
      <rPr>
        <sz val="8"/>
        <color rgb="FF1F2A30"/>
        <rFont val="Arial"/>
        <family val="0"/>
        <charset val="1"/>
      </rPr>
      <t xml:space="preserve">EMT</t>
    </r>
    <r>
      <rPr>
        <sz val="8"/>
        <color rgb="FF1F2A30"/>
        <rFont val="Noto Sans CJK SC"/>
        <family val="2"/>
      </rPr>
      <t xml:space="preserve">）中女性是否超过</t>
    </r>
    <r>
      <rPr>
        <sz val="8"/>
        <color rgb="FF1F2A30"/>
        <rFont val="Arial"/>
        <family val="0"/>
        <charset val="1"/>
      </rPr>
      <t xml:space="preserve">20%</t>
    </r>
    <r>
      <rPr>
        <sz val="8"/>
        <color rgb="FF1F2A30"/>
        <rFont val="Noto Sans CJK SC"/>
        <family val="2"/>
      </rPr>
      <t xml:space="preserve">？</t>
    </r>
  </si>
  <si>
    <r>
      <rPr>
        <sz val="8"/>
        <color rgb="FF1F2A30"/>
        <rFont val="Noto Sans CJK SC"/>
        <family val="2"/>
      </rPr>
      <t xml:space="preserve">公司及工厂是否制定自己的行为准则</t>
    </r>
    <r>
      <rPr>
        <sz val="8"/>
        <color rgb="FF1F2A30"/>
        <rFont val="Arial"/>
        <family val="0"/>
        <charset val="1"/>
      </rPr>
      <t xml:space="preserve">(CoC)</t>
    </r>
    <r>
      <rPr>
        <sz val="8"/>
        <color rgb="FF1F2A30"/>
        <rFont val="Noto Sans CJK SC"/>
        <family val="2"/>
      </rPr>
      <t xml:space="preserve">？</t>
    </r>
  </si>
  <si>
    <r>
      <rPr>
        <sz val="8"/>
        <color rgb="FF1F2A30"/>
        <rFont val="Noto Sans CJK SC"/>
        <family val="2"/>
      </rPr>
      <t xml:space="preserve">公司与工厂是否知晓并同意在其运营及供应链中贯彻 </t>
    </r>
    <r>
      <rPr>
        <sz val="8"/>
        <color rgb="FF1F2A30"/>
        <rFont val="Arial"/>
        <family val="0"/>
        <charset val="1"/>
      </rPr>
      <t xml:space="preserve">Autoliv </t>
    </r>
    <r>
      <rPr>
        <sz val="8"/>
        <color rgb="FF1F2A30"/>
        <rFont val="Noto Sans CJK SC"/>
        <family val="2"/>
      </rPr>
      <t xml:space="preserve">的《商业伙伴行为准则》（</t>
    </r>
    <r>
      <rPr>
        <sz val="8"/>
        <color rgb="FF1F2A30"/>
        <rFont val="Arial"/>
        <family val="0"/>
        <charset val="1"/>
      </rPr>
      <t xml:space="preserve">CoC</t>
    </r>
    <r>
      <rPr>
        <sz val="8"/>
        <color rgb="FF1F2A30"/>
        <rFont val="Noto Sans CJK SC"/>
        <family val="2"/>
      </rPr>
      <t xml:space="preserve">）？</t>
    </r>
  </si>
  <si>
    <r>
      <rPr>
        <sz val="8"/>
        <color rgb="FF1F2A30"/>
        <rFont val="Noto Sans CJK SC"/>
        <family val="2"/>
      </rPr>
      <t xml:space="preserve">工厂是否对供应商进行</t>
    </r>
    <r>
      <rPr>
        <sz val="8"/>
        <color rgb="FF1F2A30"/>
        <rFont val="Arial"/>
        <family val="0"/>
        <charset val="1"/>
      </rPr>
      <t xml:space="preserve">CSR</t>
    </r>
    <r>
      <rPr>
        <sz val="8"/>
        <color rgb="FF1F2A30"/>
        <rFont val="Noto Sans CJK SC"/>
        <family val="2"/>
      </rPr>
      <t xml:space="preserve">现场审核？</t>
    </r>
  </si>
  <si>
    <r>
      <rPr>
        <sz val="8"/>
        <color rgb="FF1F2A30"/>
        <rFont val="Noto Sans CJK SC"/>
        <family val="2"/>
      </rPr>
      <t xml:space="preserve">是否有经第三方认证的</t>
    </r>
    <r>
      <rPr>
        <sz val="8"/>
        <color rgb="FF1F2A30"/>
        <rFont val="Arial"/>
        <family val="0"/>
        <charset val="1"/>
      </rPr>
      <t xml:space="preserve">ISO14000</t>
    </r>
    <r>
      <rPr>
        <sz val="8"/>
        <color rgb="FF1F2A30"/>
        <rFont val="Noto Sans CJK SC"/>
        <family val="2"/>
      </rPr>
      <t xml:space="preserve">环境管理体系？</t>
    </r>
  </si>
  <si>
    <r>
      <rPr>
        <sz val="8"/>
        <color rgb="FF1F2A30"/>
        <rFont val="Noto Sans CJK SC"/>
        <family val="2"/>
      </rPr>
      <t xml:space="preserve">是否有绿色建筑认证</t>
    </r>
    <r>
      <rPr>
        <sz val="8"/>
        <color rgb="FF1F2A30"/>
        <rFont val="Arial"/>
        <family val="0"/>
        <charset val="1"/>
      </rPr>
      <t xml:space="preserve">?</t>
    </r>
  </si>
  <si>
    <r>
      <rPr>
        <sz val="8"/>
        <color rgb="FF1F2A30"/>
        <rFont val="Noto Sans CJK SC"/>
        <family val="2"/>
      </rPr>
      <t xml:space="preserve">工厂是否持有法规要求的</t>
    </r>
    <r>
      <rPr>
        <sz val="8"/>
        <color rgb="FF1F2A30"/>
        <rFont val="Arial"/>
        <family val="0"/>
        <charset val="1"/>
      </rPr>
      <t xml:space="preserve">EHS</t>
    </r>
    <r>
      <rPr>
        <sz val="8"/>
        <color rgb="FF1F2A30"/>
        <rFont val="Noto Sans CJK SC"/>
        <family val="2"/>
      </rPr>
      <t xml:space="preserve">证照齐全且在有效期内？</t>
    </r>
  </si>
  <si>
    <r>
      <rPr>
        <sz val="8"/>
        <color rgb="FF1F2A30"/>
        <rFont val="Noto Sans CJK SC"/>
        <family val="2"/>
      </rPr>
      <t xml:space="preserve">工厂是否在</t>
    </r>
    <r>
      <rPr>
        <sz val="8"/>
        <color rgb="FF1F2A30"/>
        <rFont val="Arial"/>
        <family val="0"/>
        <charset val="1"/>
      </rPr>
      <t xml:space="preserve">NGO</t>
    </r>
    <r>
      <rPr>
        <sz val="8"/>
        <color rgb="FF1F2A30"/>
        <rFont val="Noto Sans CJK SC"/>
        <family val="2"/>
      </rPr>
      <t xml:space="preserve">网站上无未整改的负面记录？</t>
    </r>
  </si>
  <si>
    <r>
      <rPr>
        <sz val="8"/>
        <color rgb="FF1F2A30"/>
        <rFont val="Noto Sans CJK SC"/>
        <family val="2"/>
      </rPr>
      <t xml:space="preserve">工厂是否有效实施</t>
    </r>
    <r>
      <rPr>
        <sz val="8"/>
        <color rgb="FF1F2A30"/>
        <rFont val="Arial"/>
        <family val="0"/>
        <charset val="1"/>
      </rPr>
      <t xml:space="preserve">COVID-19</t>
    </r>
    <r>
      <rPr>
        <sz val="8"/>
        <color rgb="FF1F2A30"/>
        <rFont val="Noto Sans CJK SC"/>
        <family val="2"/>
      </rPr>
      <t xml:space="preserve">相关防疫措施？</t>
    </r>
  </si>
  <si>
    <r>
      <rPr>
        <sz val="8"/>
        <color rgb="FF1F2A30"/>
        <rFont val="Noto Sans CJK SC"/>
        <family val="2"/>
      </rPr>
      <t xml:space="preserve">工厂是否建立职业健康安全（</t>
    </r>
    <r>
      <rPr>
        <sz val="8"/>
        <color rgb="FF1F2A30"/>
        <rFont val="Arial"/>
        <family val="0"/>
        <charset val="1"/>
      </rPr>
      <t xml:space="preserve">H&amp;S</t>
    </r>
    <r>
      <rPr>
        <sz val="8"/>
        <color rgb="FF1F2A30"/>
        <rFont val="Noto Sans CJK SC"/>
        <family val="2"/>
      </rPr>
      <t xml:space="preserve">）管理体系（优先 </t>
    </r>
    <r>
      <rPr>
        <sz val="8"/>
        <color rgb="FF1F2A30"/>
        <rFont val="Arial"/>
        <family val="0"/>
        <charset val="1"/>
      </rPr>
      <t xml:space="preserve">ISO 45001</t>
    </r>
    <r>
      <rPr>
        <sz val="8"/>
        <color rgb="FF1F2A30"/>
        <rFont val="Noto Sans CJK SC"/>
        <family val="2"/>
      </rPr>
      <t xml:space="preserve">），政策至少涵盖 </t>
    </r>
    <r>
      <rPr>
        <sz val="8"/>
        <color rgb="FF1F2A30"/>
        <rFont val="Arial"/>
        <family val="0"/>
        <charset val="1"/>
      </rPr>
      <t xml:space="preserve">PPE/</t>
    </r>
    <r>
      <rPr>
        <sz val="8"/>
        <color rgb="FF1F2A30"/>
        <rFont val="Noto Sans CJK SC"/>
        <family val="2"/>
      </rPr>
      <t xml:space="preserve">机械安全</t>
    </r>
    <r>
      <rPr>
        <sz val="8"/>
        <color rgb="FF1F2A30"/>
        <rFont val="Arial"/>
        <family val="0"/>
        <charset val="1"/>
      </rPr>
      <t xml:space="preserve">/</t>
    </r>
    <r>
      <rPr>
        <sz val="8"/>
        <color rgb="FF1F2A30"/>
        <rFont val="Noto Sans CJK SC"/>
        <family val="2"/>
      </rPr>
      <t xml:space="preserve">应急</t>
    </r>
    <r>
      <rPr>
        <sz val="8"/>
        <color rgb="FF1F2A30"/>
        <rFont val="Arial"/>
        <family val="0"/>
        <charset val="1"/>
      </rPr>
      <t xml:space="preserve">/</t>
    </r>
    <r>
      <rPr>
        <sz val="8"/>
        <color rgb="FF1F2A30"/>
        <rFont val="Noto Sans CJK SC"/>
        <family val="2"/>
      </rPr>
      <t xml:space="preserve">事故管理</t>
    </r>
    <r>
      <rPr>
        <sz val="8"/>
        <color rgb="FF1F2A30"/>
        <rFont val="Arial"/>
        <family val="0"/>
        <charset val="1"/>
      </rPr>
      <t xml:space="preserve">/</t>
    </r>
    <r>
      <rPr>
        <sz val="8"/>
        <color rgb="FF1F2A30"/>
        <rFont val="Noto Sans CJK SC"/>
        <family val="2"/>
      </rPr>
      <t xml:space="preserve">人机工程</t>
    </r>
    <r>
      <rPr>
        <sz val="8"/>
        <color rgb="FF1F2A30"/>
        <rFont val="Arial"/>
        <family val="0"/>
        <charset val="1"/>
      </rPr>
      <t xml:space="preserve">/</t>
    </r>
    <r>
      <rPr>
        <sz val="8"/>
        <color rgb="FF1F2A30"/>
        <rFont val="Noto Sans CJK SC"/>
        <family val="2"/>
      </rPr>
      <t xml:space="preserve">化学品</t>
    </r>
    <r>
      <rPr>
        <sz val="8"/>
        <color rgb="FF1F2A30"/>
        <rFont val="Arial"/>
        <family val="0"/>
        <charset val="1"/>
      </rPr>
      <t xml:space="preserve">/</t>
    </r>
    <r>
      <rPr>
        <sz val="8"/>
        <color rgb="FF1F2A30"/>
        <rFont val="Noto Sans CJK SC"/>
        <family val="2"/>
      </rPr>
      <t xml:space="preserve">消防</t>
    </r>
    <r>
      <rPr>
        <sz val="8"/>
        <color rgb="FF1F2A30"/>
        <rFont val="Arial"/>
        <family val="0"/>
        <charset val="1"/>
      </rPr>
      <t xml:space="preserve">/</t>
    </r>
    <r>
      <rPr>
        <sz val="8"/>
        <color rgb="FF1F2A30"/>
        <rFont val="Noto Sans CJK SC"/>
        <family val="2"/>
      </rPr>
      <t xml:space="preserve">培训 </t>
    </r>
    <r>
      <rPr>
        <sz val="8"/>
        <color rgb="FF1F2A30"/>
        <rFont val="Arial"/>
        <family val="0"/>
        <charset val="1"/>
      </rPr>
      <t xml:space="preserve">8 </t>
    </r>
    <r>
      <rPr>
        <sz val="8"/>
        <color rgb="FF1F2A30"/>
        <rFont val="Noto Sans CJK SC"/>
        <family val="2"/>
      </rPr>
      <t xml:space="preserve">要素，并覆盖分包商？</t>
    </r>
  </si>
  <si>
    <r>
      <rPr>
        <sz val="8"/>
        <color rgb="FF1F2A30"/>
        <rFont val="Noto Sans CJK SC"/>
        <family val="2"/>
      </rPr>
      <t xml:space="preserve">工厂的</t>
    </r>
    <r>
      <rPr>
        <sz val="8"/>
        <color rgb="FF1F2A30"/>
        <rFont val="Arial"/>
        <family val="0"/>
        <charset val="1"/>
      </rPr>
      <t xml:space="preserve">H&amp;S</t>
    </r>
    <r>
      <rPr>
        <sz val="8"/>
        <color rgb="FF1F2A30"/>
        <rFont val="Noto Sans CJK SC"/>
        <family val="2"/>
      </rPr>
      <t xml:space="preserve">管理体系是否经过认证？</t>
    </r>
  </si>
  <si>
    <r>
      <rPr>
        <sz val="8"/>
        <color rgb="FF1F2A30"/>
        <rFont val="Noto Sans CJK SC"/>
        <family val="2"/>
      </rPr>
      <t xml:space="preserve">是否制定并实施道路安全政策，涵盖防御性驾驶培训、强制系安全带</t>
    </r>
    <r>
      <rPr>
        <sz val="8"/>
        <color rgb="FF1F2A30"/>
        <rFont val="Arial"/>
        <family val="0"/>
        <charset val="1"/>
      </rPr>
      <t xml:space="preserve">/</t>
    </r>
    <r>
      <rPr>
        <sz val="8"/>
        <color rgb="FF1F2A30"/>
        <rFont val="Noto Sans CJK SC"/>
        <family val="2"/>
      </rPr>
      <t xml:space="preserve">戴头盔、驾驶禁用手机、零酒驾（酒精锁计划）、疲劳驾驶管控、第三方保险，并覆盖承包人员？</t>
    </r>
  </si>
  <si>
    <r>
      <rPr>
        <sz val="8"/>
        <color rgb="FF1F2A30"/>
        <rFont val="Noto Sans CJK SC"/>
        <family val="2"/>
      </rPr>
      <t xml:space="preserve">重型货车（</t>
    </r>
    <r>
      <rPr>
        <sz val="8"/>
        <color rgb="FF1F2A30"/>
        <rFont val="Arial"/>
        <family val="0"/>
        <charset val="1"/>
      </rPr>
      <t xml:space="preserve">HGV</t>
    </r>
    <r>
      <rPr>
        <sz val="8"/>
        <color rgb="FF1F2A30"/>
        <rFont val="Noto Sans CJK SC"/>
        <family val="2"/>
      </rPr>
      <t xml:space="preserve">）是否配备气囊、安全带与酒精锁，新购运输车辆是否按所在市场最高安全评级采购？</t>
    </r>
  </si>
</sst>
</file>

<file path=xl/styles.xml><?xml version="1.0" encoding="utf-8"?>
<styleSheet xmlns="http://schemas.openxmlformats.org/spreadsheetml/2006/main">
  <numFmts count="2">
    <numFmt numFmtId="164" formatCode="General"/>
    <numFmt numFmtId="165" formatCode="General"/>
  </numFmts>
  <fonts count="46">
    <font>
      <sz val="11"/>
      <color theme="1"/>
      <name val="Calibri"/>
      <family val="2"/>
      <charset val="1"/>
    </font>
    <font>
      <sz val="10"/>
      <name val="Arial"/>
      <family val="0"/>
    </font>
    <font>
      <sz val="10"/>
      <name val="Arial"/>
      <family val="0"/>
    </font>
    <font>
      <sz val="10"/>
      <name val="Arial"/>
      <family val="0"/>
    </font>
    <font>
      <b val="true"/>
      <sz val="16"/>
      <color rgb="FF002D6B"/>
      <name val="Arial"/>
      <family val="0"/>
      <charset val="1"/>
    </font>
    <font>
      <b val="true"/>
      <sz val="16"/>
      <color rgb="FF002D6B"/>
      <name val="Noto Sans CJK SC"/>
      <family val="2"/>
    </font>
    <font>
      <b val="true"/>
      <sz val="11"/>
      <color rgb="FF0B4C8C"/>
      <name val="Arial"/>
      <family val="0"/>
      <charset val="1"/>
    </font>
    <font>
      <sz val="9"/>
      <color rgb="FF8A99A2"/>
      <name val="Arial"/>
      <family val="0"/>
      <charset val="1"/>
    </font>
    <font>
      <sz val="9"/>
      <color rgb="FF8A99A2"/>
      <name val="Noto Sans CJK SC"/>
      <family val="2"/>
    </font>
    <font>
      <b val="true"/>
      <sz val="10"/>
      <color rgb="FF1F2A30"/>
      <name val="Arial"/>
      <family val="0"/>
      <charset val="1"/>
    </font>
    <font>
      <b val="true"/>
      <sz val="10"/>
      <color rgb="FF1F2A30"/>
      <name val="Noto Sans CJK SC"/>
      <family val="2"/>
    </font>
    <font>
      <b val="true"/>
      <sz val="11"/>
      <color rgb="FF002D6B"/>
      <name val="Noto Sans CJK SC"/>
      <family val="2"/>
    </font>
    <font>
      <b val="true"/>
      <sz val="11"/>
      <color rgb="FF002D6B"/>
      <name val="Arial"/>
      <family val="0"/>
      <charset val="1"/>
    </font>
    <font>
      <sz val="9"/>
      <color rgb="FF1F2A30"/>
      <name val="Noto Sans CJK SC"/>
      <family val="2"/>
    </font>
    <font>
      <sz val="9"/>
      <color rgb="FF1F2A30"/>
      <name val="Arial"/>
      <family val="0"/>
      <charset val="1"/>
    </font>
    <font>
      <i val="true"/>
      <sz val="9"/>
      <color rgb="FF8A99A2"/>
      <name val="Noto Sans CJK SC"/>
      <family val="2"/>
    </font>
    <font>
      <i val="true"/>
      <sz val="9"/>
      <color rgb="FF8A99A2"/>
      <name val="Arial"/>
      <family val="0"/>
      <charset val="1"/>
    </font>
    <font>
      <i val="true"/>
      <sz val="8"/>
      <color rgb="FF8A99A2"/>
      <name val="Arial"/>
      <family val="0"/>
      <charset val="1"/>
    </font>
    <font>
      <i val="true"/>
      <sz val="8"/>
      <color rgb="FF8A99A2"/>
      <name val="Noto Sans CJK SC"/>
      <family val="2"/>
    </font>
    <font>
      <b val="true"/>
      <sz val="14"/>
      <color rgb="FF002D6B"/>
      <name val="Noto Sans CJK SC"/>
      <family val="2"/>
    </font>
    <font>
      <b val="true"/>
      <sz val="14"/>
      <color rgb="FF002D6B"/>
      <name val="Arial"/>
      <family val="0"/>
      <charset val="1"/>
    </font>
    <font>
      <b val="true"/>
      <sz val="9"/>
      <color rgb="FFFFFFFF"/>
      <name val="Noto Sans CJK SC"/>
      <family val="2"/>
    </font>
    <font>
      <b val="true"/>
      <sz val="9"/>
      <color rgb="FFFFFFFF"/>
      <name val="Arial"/>
      <family val="0"/>
      <charset val="1"/>
    </font>
    <font>
      <b val="true"/>
      <sz val="11"/>
      <color rgb="FFFFFFFF"/>
      <name val="Noto Sans CJK SC"/>
      <family val="2"/>
    </font>
    <font>
      <b val="true"/>
      <sz val="11"/>
      <color rgb="FFFFFFFF"/>
      <name val="Arial"/>
      <family val="0"/>
      <charset val="1"/>
    </font>
    <font>
      <b val="true"/>
      <sz val="9"/>
      <color rgb="FF1F2A30"/>
      <name val="Noto Sans CJK SC"/>
      <family val="2"/>
    </font>
    <font>
      <b val="true"/>
      <sz val="9"/>
      <color rgb="FF1F2A30"/>
      <name val="Arial"/>
      <family val="0"/>
      <charset val="1"/>
    </font>
    <font>
      <b val="true"/>
      <sz val="13"/>
      <color rgb="FF002D6B"/>
      <name val="Arial"/>
      <family val="0"/>
      <charset val="1"/>
    </font>
    <font>
      <b val="true"/>
      <sz val="13"/>
      <color rgb="FF002D6B"/>
      <name val="Noto Sans CJK SC"/>
      <family val="2"/>
    </font>
    <font>
      <b val="true"/>
      <sz val="9"/>
      <color rgb="FF0B4C8C"/>
      <name val="Noto Sans CJK SC"/>
      <family val="2"/>
    </font>
    <font>
      <b val="true"/>
      <sz val="9"/>
      <color rgb="FF0B4C8C"/>
      <name val="Arial"/>
      <family val="0"/>
      <charset val="1"/>
    </font>
    <font>
      <b val="true"/>
      <sz val="14"/>
      <color rgb="FF1E8449"/>
      <name val="Arial"/>
      <family val="0"/>
      <charset val="1"/>
    </font>
    <font>
      <sz val="8"/>
      <color rgb="FF8A99A2"/>
      <name val="Arial"/>
      <family val="0"/>
      <charset val="1"/>
    </font>
    <font>
      <b val="true"/>
      <sz val="9"/>
      <color rgb="FFC0392B"/>
      <name val="Arial"/>
      <family val="0"/>
      <charset val="1"/>
    </font>
    <font>
      <sz val="8"/>
      <color rgb="FF8A99A2"/>
      <name val="Noto Sans CJK SC"/>
      <family val="2"/>
    </font>
    <font>
      <b val="true"/>
      <sz val="9"/>
      <color rgb="FF002D6B"/>
      <name val="Arial"/>
      <family val="0"/>
      <charset val="1"/>
    </font>
    <font>
      <b val="true"/>
      <sz val="9"/>
      <color rgb="FF1E8449"/>
      <name val="Arial"/>
      <family val="0"/>
      <charset val="1"/>
    </font>
    <font>
      <b val="true"/>
      <sz val="15"/>
      <color rgb="FF002D6B"/>
      <name val="Noto Sans CJK SC"/>
      <family val="2"/>
    </font>
    <font>
      <b val="true"/>
      <sz val="15"/>
      <color rgb="FF002D6B"/>
      <name val="Arial"/>
      <family val="0"/>
      <charset val="1"/>
    </font>
    <font>
      <b val="true"/>
      <sz val="10"/>
      <color rgb="FFFFFFFF"/>
      <name val="Noto Sans CJK SC"/>
      <family val="2"/>
    </font>
    <font>
      <b val="true"/>
      <sz val="10"/>
      <color rgb="FFFFFFFF"/>
      <name val="Arial"/>
      <family val="0"/>
      <charset val="1"/>
    </font>
    <font>
      <b val="true"/>
      <sz val="11"/>
      <color rgb="FFC0392B"/>
      <name val="Noto Sans CJK SC"/>
      <family val="2"/>
    </font>
    <font>
      <b val="true"/>
      <sz val="10"/>
      <color rgb="FFC0392B"/>
      <name val="Arial"/>
      <family val="0"/>
      <charset val="1"/>
    </font>
    <font>
      <sz val="8"/>
      <color rgb="FF1F2A30"/>
      <name val="Noto Sans CJK SC"/>
      <family val="2"/>
    </font>
    <font>
      <sz val="8"/>
      <color rgb="FF1F2A30"/>
      <name val="Arial"/>
      <family val="0"/>
      <charset val="1"/>
    </font>
    <font>
      <sz val="11"/>
      <color theme="1"/>
      <name val="Noto Sans CJK SC"/>
      <family val="2"/>
    </font>
  </fonts>
  <fills count="10">
    <fill>
      <patternFill patternType="none"/>
    </fill>
    <fill>
      <patternFill patternType="gray125"/>
    </fill>
    <fill>
      <patternFill patternType="solid">
        <fgColor rgb="FF0B4C8C"/>
        <bgColor rgb="FF002D6B"/>
      </patternFill>
    </fill>
    <fill>
      <patternFill patternType="solid">
        <fgColor rgb="FF002D6B"/>
        <bgColor rgb="FF1F2A30"/>
      </patternFill>
    </fill>
    <fill>
      <patternFill patternType="solid">
        <fgColor rgb="FFF5F8FA"/>
        <bgColor rgb="FFF3F7FB"/>
      </patternFill>
    </fill>
    <fill>
      <patternFill patternType="solid">
        <fgColor rgb="FFFFF6D5"/>
        <bgColor rgb="FFEFEFEF"/>
      </patternFill>
    </fill>
    <fill>
      <patternFill patternType="solid">
        <fgColor rgb="FFEFEFEF"/>
        <bgColor rgb="FFEAF1F8"/>
      </patternFill>
    </fill>
    <fill>
      <patternFill patternType="solid">
        <fgColor rgb="FFEAF1F8"/>
        <bgColor rgb="FFEFEFEF"/>
      </patternFill>
    </fill>
    <fill>
      <patternFill patternType="solid">
        <fgColor rgb="FFF3F7FB"/>
        <bgColor rgb="FFF5F8FA"/>
      </patternFill>
    </fill>
    <fill>
      <patternFill patternType="solid">
        <fgColor rgb="FFDCE8F5"/>
        <bgColor rgb="FFEAF1F8"/>
      </patternFill>
    </fill>
  </fills>
  <borders count="2">
    <border diagonalUp="false" diagonalDown="false">
      <left/>
      <right/>
      <top/>
      <bottom/>
      <diagonal/>
    </border>
    <border diagonalUp="false" diagonalDown="false">
      <left style="thin">
        <color rgb="FFD3DCE1"/>
      </left>
      <right style="thin">
        <color rgb="FFD3DCE1"/>
      </right>
      <top style="thin">
        <color rgb="FFD3DCE1"/>
      </top>
      <bottom style="thin">
        <color rgb="FFD3DC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11" fillId="0" borderId="0" xfId="0" applyFont="true" applyBorder="false" applyAlignment="true" applyProtection="false">
      <alignment horizontal="left" vertical="top" textRotation="0" wrapText="true" indent="0" shrinkToFit="false"/>
      <protection locked="true" hidden="false"/>
    </xf>
    <xf numFmtId="164" fontId="13" fillId="0" borderId="0" xfId="0" applyFont="true" applyBorder="false" applyAlignment="true" applyProtection="false">
      <alignment horizontal="left" vertical="top" textRotation="0" wrapText="true" indent="0" shrinkToFit="false"/>
      <protection locked="true" hidden="false"/>
    </xf>
    <xf numFmtId="164" fontId="15" fillId="0" borderId="0" xfId="0" applyFont="true" applyBorder="false" applyAlignment="true" applyProtection="false">
      <alignment horizontal="left" vertical="top" textRotation="0" wrapText="true" indent="0" shrinkToFit="false"/>
      <protection locked="true" hidden="false"/>
    </xf>
    <xf numFmtId="164" fontId="17" fillId="0" borderId="0" xfId="0" applyFont="true" applyBorder="false" applyAlignment="true" applyProtection="false">
      <alignment horizontal="left" vertical="top" textRotation="0" wrapText="true" indent="0" shrinkToFit="false"/>
      <protection locked="true" hidden="false"/>
    </xf>
    <xf numFmtId="164" fontId="19" fillId="0" borderId="0" xfId="0" applyFont="true" applyBorder="true" applyAlignment="true" applyProtection="false">
      <alignment horizontal="left" vertical="center" textRotation="0" wrapText="true" indent="0" shrinkToFit="false"/>
      <protection locked="true" hidden="false"/>
    </xf>
    <xf numFmtId="164" fontId="18" fillId="0" borderId="0" xfId="0" applyFont="true" applyBorder="true" applyAlignment="true" applyProtection="false">
      <alignment horizontal="left" vertical="top" textRotation="0" wrapText="true" indent="0" shrinkToFit="false"/>
      <protection locked="true" hidden="false"/>
    </xf>
    <xf numFmtId="164" fontId="21" fillId="2" borderId="1" xfId="0" applyFont="true" applyBorder="true" applyAlignment="true" applyProtection="false">
      <alignment horizontal="center" vertical="center" textRotation="0" wrapText="true" indent="0" shrinkToFit="false"/>
      <protection locked="true" hidden="false"/>
    </xf>
    <xf numFmtId="164" fontId="23" fillId="3" borderId="0" xfId="0" applyFont="true" applyBorder="true" applyAlignment="true" applyProtection="false">
      <alignment horizontal="left" vertical="center" textRotation="0" wrapText="true" indent="0" shrinkToFit="false"/>
      <protection locked="true" hidden="false"/>
    </xf>
    <xf numFmtId="164" fontId="25" fillId="4" borderId="1" xfId="0" applyFont="true" applyBorder="true" applyAlignment="true" applyProtection="false">
      <alignment horizontal="left" vertical="top" textRotation="0" wrapText="true" indent="0" shrinkToFit="false"/>
      <protection locked="true" hidden="false"/>
    </xf>
    <xf numFmtId="164" fontId="0" fillId="5" borderId="1" xfId="0" applyFont="fals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left" vertical="top" textRotation="0" wrapText="true" indent="0" shrinkToFit="false"/>
      <protection locked="true" hidden="false"/>
    </xf>
    <xf numFmtId="164" fontId="18" fillId="0" borderId="1" xfId="0" applyFont="true" applyBorder="true" applyAlignment="true" applyProtection="false">
      <alignment horizontal="left" vertical="top" textRotation="0" wrapText="true" indent="0" shrinkToFit="false"/>
      <protection locked="true" hidden="false"/>
    </xf>
    <xf numFmtId="164" fontId="27" fillId="0" borderId="0" xfId="0" applyFont="true" applyBorder="false" applyAlignment="true" applyProtection="false">
      <alignment horizontal="left" vertical="center" textRotation="0" wrapText="false" indent="0" shrinkToFit="false"/>
      <protection locked="true" hidden="false"/>
    </xf>
    <xf numFmtId="164" fontId="29" fillId="0" borderId="0" xfId="0" applyFont="true" applyBorder="false" applyAlignment="true" applyProtection="false">
      <alignment horizontal="right" vertical="center" textRotation="0" wrapText="false" indent="0" shrinkToFit="false"/>
      <protection locked="true" hidden="false"/>
    </xf>
    <xf numFmtId="165" fontId="31" fillId="0" borderId="0" xfId="0" applyFont="true" applyBorder="false" applyAlignment="true" applyProtection="false">
      <alignment horizontal="left"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21" fillId="3" borderId="1" xfId="0" applyFont="true" applyBorder="true" applyAlignment="true" applyProtection="false">
      <alignment horizontal="center" vertical="center" textRotation="0" wrapText="true" indent="0" shrinkToFit="false"/>
      <protection locked="true" hidden="false"/>
    </xf>
    <xf numFmtId="164" fontId="22" fillId="3" borderId="1" xfId="0" applyFont="true" applyBorder="true" applyAlignment="true" applyProtection="false">
      <alignment horizontal="center" vertical="center" textRotation="0" wrapText="true" indent="0" shrinkToFit="false"/>
      <protection locked="true" hidden="false"/>
    </xf>
    <xf numFmtId="164" fontId="18" fillId="6" borderId="1" xfId="0" applyFont="true" applyBorder="true" applyAlignment="true" applyProtection="false">
      <alignment horizontal="left" vertical="top" textRotation="0" wrapText="true" indent="0" shrinkToFit="false"/>
      <protection locked="true" hidden="false"/>
    </xf>
    <xf numFmtId="164" fontId="17" fillId="6" borderId="1" xfId="0" applyFont="true" applyBorder="true" applyAlignment="true" applyProtection="false">
      <alignment horizontal="left" vertical="top" textRotation="0" wrapText="true" indent="0" shrinkToFit="false"/>
      <protection locked="true" hidden="false"/>
    </xf>
    <xf numFmtId="165" fontId="32" fillId="0" borderId="0" xfId="0" applyFont="true" applyBorder="false" applyAlignment="false" applyProtection="false">
      <alignment horizontal="general" vertical="bottom" textRotation="0" wrapText="false" indent="0" shrinkToFit="false"/>
      <protection locked="true" hidden="false"/>
    </xf>
    <xf numFmtId="164" fontId="30" fillId="7" borderId="1" xfId="0" applyFont="true" applyBorder="true" applyAlignment="true" applyProtection="false">
      <alignment horizontal="center" vertical="center" textRotation="0" wrapText="true" indent="0" shrinkToFit="false"/>
      <protection locked="true" hidden="false"/>
    </xf>
    <xf numFmtId="164" fontId="14" fillId="7"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left" vertical="top" textRotation="0" wrapText="true" indent="0" shrinkToFit="false"/>
      <protection locked="true" hidden="false"/>
    </xf>
    <xf numFmtId="164" fontId="33" fillId="7" borderId="1" xfId="0" applyFont="true" applyBorder="true" applyAlignment="true" applyProtection="false">
      <alignment horizontal="center" vertical="center" textRotation="0" wrapText="true" indent="0" shrinkToFit="false"/>
      <protection locked="true" hidden="false"/>
    </xf>
    <xf numFmtId="164" fontId="34" fillId="7" borderId="1" xfId="0" applyFont="true" applyBorder="true" applyAlignment="true" applyProtection="false">
      <alignment horizontal="center" vertical="center" textRotation="0" wrapText="true" indent="0" shrinkToFit="false"/>
      <protection locked="true" hidden="false"/>
    </xf>
    <xf numFmtId="164" fontId="35" fillId="7" borderId="1" xfId="0" applyFont="true" applyBorder="true" applyAlignment="true" applyProtection="false">
      <alignment horizontal="center" vertical="center" textRotation="0" wrapText="true" indent="0" shrinkToFit="false"/>
      <protection locked="true" hidden="false"/>
    </xf>
    <xf numFmtId="164" fontId="30" fillId="8" borderId="1" xfId="0" applyFont="true" applyBorder="true" applyAlignment="true" applyProtection="false">
      <alignment horizontal="center" vertical="center" textRotation="0" wrapText="true" indent="0" shrinkToFit="false"/>
      <protection locked="true" hidden="false"/>
    </xf>
    <xf numFmtId="164" fontId="14" fillId="8" borderId="1" xfId="0" applyFont="true" applyBorder="true" applyAlignment="true" applyProtection="false">
      <alignment horizontal="left" vertical="top" textRotation="0" wrapText="true" indent="0" shrinkToFit="false"/>
      <protection locked="true" hidden="false"/>
    </xf>
    <xf numFmtId="164" fontId="13" fillId="8" borderId="1" xfId="0" applyFont="true" applyBorder="true" applyAlignment="true" applyProtection="false">
      <alignment horizontal="left" vertical="top" textRotation="0" wrapText="true" indent="0" shrinkToFit="false"/>
      <protection locked="true" hidden="false"/>
    </xf>
    <xf numFmtId="164" fontId="13" fillId="8" borderId="1" xfId="0" applyFont="true" applyBorder="true" applyAlignment="true" applyProtection="false">
      <alignment horizontal="center" vertical="center" textRotation="0" wrapText="true" indent="0" shrinkToFit="false"/>
      <protection locked="true" hidden="false"/>
    </xf>
    <xf numFmtId="164" fontId="34" fillId="8" borderId="1" xfId="0" applyFont="true" applyBorder="true" applyAlignment="true" applyProtection="false">
      <alignment horizontal="center" vertical="center" textRotation="0" wrapText="true" indent="0" shrinkToFit="false"/>
      <protection locked="true" hidden="false"/>
    </xf>
    <xf numFmtId="164" fontId="33" fillId="8" borderId="1" xfId="0" applyFont="true" applyBorder="true" applyAlignment="true" applyProtection="false">
      <alignment horizontal="center" vertical="center" textRotation="0" wrapText="true" indent="0" shrinkToFit="false"/>
      <protection locked="true" hidden="false"/>
    </xf>
    <xf numFmtId="164" fontId="36" fillId="8" borderId="1" xfId="0" applyFont="true" applyBorder="true" applyAlignment="true" applyProtection="false">
      <alignment horizontal="center" vertical="center" textRotation="0" wrapText="true" indent="0" shrinkToFit="false"/>
      <protection locked="true" hidden="false"/>
    </xf>
    <xf numFmtId="164" fontId="35" fillId="8" borderId="1" xfId="0" applyFont="true" applyBorder="true" applyAlignment="true" applyProtection="false">
      <alignment horizontal="center" vertical="center" textRotation="0" wrapText="true" indent="0" shrinkToFit="false"/>
      <protection locked="true" hidden="false"/>
    </xf>
    <xf numFmtId="164" fontId="36" fillId="7" borderId="1" xfId="0" applyFont="true" applyBorder="true" applyAlignment="true" applyProtection="false">
      <alignment horizontal="center" vertical="center" textRotation="0" wrapText="true" indent="0" shrinkToFit="false"/>
      <protection locked="true" hidden="false"/>
    </xf>
    <xf numFmtId="164" fontId="37" fillId="0" borderId="0" xfId="0" applyFont="true" applyBorder="true" applyAlignment="true" applyProtection="false">
      <alignment horizontal="left" vertical="center" textRotation="0" wrapText="tru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22" fillId="2" borderId="1" xfId="0" applyFont="true" applyBorder="true" applyAlignment="true" applyProtection="false">
      <alignment horizontal="center" vertical="center" textRotation="0" wrapText="true" indent="0" shrinkToFit="false"/>
      <protection locked="true" hidden="false"/>
    </xf>
    <xf numFmtId="164" fontId="26" fillId="7" borderId="1" xfId="0" applyFont="true" applyBorder="true" applyAlignment="true" applyProtection="false">
      <alignment horizontal="left" vertical="top" textRotation="0" wrapText="true" indent="0" shrinkToFit="false"/>
      <protection locked="true" hidden="false"/>
    </xf>
    <xf numFmtId="164" fontId="26" fillId="8" borderId="1" xfId="0" applyFont="true" applyBorder="true" applyAlignment="true" applyProtection="false">
      <alignment horizontal="left" vertical="top" textRotation="0" wrapText="true" indent="0" shrinkToFit="false"/>
      <protection locked="true" hidden="false"/>
    </xf>
    <xf numFmtId="164" fontId="39" fillId="3" borderId="1" xfId="0" applyFont="true" applyBorder="true" applyAlignment="true" applyProtection="false">
      <alignment horizontal="center" vertical="center" textRotation="0" wrapText="true" indent="0" shrinkToFit="false"/>
      <protection locked="true" hidden="false"/>
    </xf>
    <xf numFmtId="165" fontId="12" fillId="9" borderId="1" xfId="0" applyFont="true" applyBorder="true" applyAlignment="true" applyProtection="false">
      <alignment horizontal="center" vertical="center" textRotation="0" wrapText="true" indent="0" shrinkToFit="false"/>
      <protection locked="true" hidden="false"/>
    </xf>
    <xf numFmtId="164" fontId="41"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42" fillId="0" borderId="1"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left" vertical="top" textRotation="0" wrapText="true" indent="0" shrinkToFit="false"/>
      <protection locked="true" hidden="false"/>
    </xf>
    <xf numFmtId="164" fontId="45" fillId="0"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D5"/>
      <rgbColor rgb="FFEAF1F8"/>
      <rgbColor rgb="FF660066"/>
      <rgbColor rgb="FFFF8080"/>
      <rgbColor rgb="FF0066CC"/>
      <rgbColor rgb="FFD3DCE1"/>
      <rgbColor rgb="FF000080"/>
      <rgbColor rgb="FFFF00FF"/>
      <rgbColor rgb="FFFFFF00"/>
      <rgbColor rgb="FF00FFFF"/>
      <rgbColor rgb="FF800080"/>
      <rgbColor rgb="FF800000"/>
      <rgbColor rgb="FF008080"/>
      <rgbColor rgb="FF0000FF"/>
      <rgbColor rgb="FF00CCFF"/>
      <rgbColor rgb="FFDCE8F5"/>
      <rgbColor rgb="FFEFEFEF"/>
      <rgbColor rgb="FFF5F8FA"/>
      <rgbColor rgb="FF99CCFF"/>
      <rgbColor rgb="FFFF99CC"/>
      <rgbColor rgb="FFCC99FF"/>
      <rgbColor rgb="FFF3F7FB"/>
      <rgbColor rgb="FF3366FF"/>
      <rgbColor rgb="FF33CCCC"/>
      <rgbColor rgb="FF99CC00"/>
      <rgbColor rgb="FFFFCC00"/>
      <rgbColor rgb="FFFF9900"/>
      <rgbColor rgb="FFFF6600"/>
      <rgbColor rgb="FF666699"/>
      <rgbColor rgb="FF8A99A2"/>
      <rgbColor rgb="FF002D6B"/>
      <rgbColor rgb="FF1E8449"/>
      <rgbColor rgb="FF003300"/>
      <rgbColor rgb="FF333300"/>
      <rgbColor rgb="FFC0392B"/>
      <rgbColor rgb="FF993366"/>
      <rgbColor rgb="FF0B4C8C"/>
      <rgbColor rgb="FF1F2A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8"/>
  </cols>
  <sheetData>
    <row r="2" customFormat="false" ht="23.85"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3" t="s">
        <v>2</v>
      </c>
    </row>
    <row r="6" customFormat="false" ht="15" hidden="false" customHeight="false" outlineLevel="0" collapsed="false">
      <c r="B6" s="4" t="s">
        <v>3</v>
      </c>
    </row>
    <row r="7" customFormat="false" ht="15" hidden="false" customHeight="false" outlineLevel="0" collapsed="false">
      <c r="B7" s="3" t="s">
        <v>4</v>
      </c>
    </row>
    <row r="8" customFormat="false" ht="15" hidden="false" customHeight="false" outlineLevel="0" collapsed="false">
      <c r="B8" s="4" t="s">
        <v>5</v>
      </c>
    </row>
    <row r="9" customFormat="false" ht="15" hidden="false" customHeight="false" outlineLevel="0" collapsed="false">
      <c r="B9" s="3" t="s">
        <v>6</v>
      </c>
    </row>
    <row r="10" customFormat="false" ht="15" hidden="false" customHeight="false" outlineLevel="0" collapsed="false">
      <c r="B10" s="4" t="s">
        <v>7</v>
      </c>
    </row>
    <row r="11" customFormat="false" ht="15" hidden="false" customHeight="false" outlineLevel="0" collapsed="false">
      <c r="B11" s="3" t="s">
        <v>8</v>
      </c>
    </row>
    <row r="12" customFormat="false" ht="29.85" hidden="false" customHeight="false" outlineLevel="0" collapsed="false">
      <c r="B12" s="4" t="s">
        <v>9</v>
      </c>
    </row>
    <row r="13" customFormat="false" ht="15" hidden="false" customHeight="false" outlineLevel="0" collapsed="false">
      <c r="B13" s="3" t="s">
        <v>10</v>
      </c>
    </row>
    <row r="14" customFormat="false" ht="15" hidden="false" customHeight="false" outlineLevel="0" collapsed="false">
      <c r="B14" s="4" t="s">
        <v>11</v>
      </c>
    </row>
    <row r="15" customFormat="false" ht="15" hidden="false" customHeight="false" outlineLevel="0" collapsed="false">
      <c r="B15" s="3" t="s">
        <v>12</v>
      </c>
    </row>
    <row r="16" customFormat="false" ht="15" hidden="false" customHeight="false" outlineLevel="0" collapsed="false">
      <c r="B16" s="4" t="s">
        <v>13</v>
      </c>
    </row>
    <row r="17" customFormat="false" ht="15" hidden="false" customHeight="false" outlineLevel="0" collapsed="false">
      <c r="B17" s="3" t="s">
        <v>14</v>
      </c>
    </row>
    <row r="18" customFormat="false" ht="15" hidden="false" customHeight="false" outlineLevel="0" collapsed="false">
      <c r="B18" s="4" t="s">
        <v>15</v>
      </c>
    </row>
    <row r="19" customFormat="false" ht="15" hidden="false" customHeight="false" outlineLevel="0" collapsed="false">
      <c r="B19" s="3" t="s">
        <v>16</v>
      </c>
    </row>
    <row r="20" customFormat="false" ht="15" hidden="false" customHeight="false" outlineLevel="0" collapsed="false">
      <c r="B20" s="4" t="s">
        <v>17</v>
      </c>
    </row>
    <row r="21" customFormat="false" ht="15" hidden="false" customHeight="false" outlineLevel="0" collapsed="false">
      <c r="B21" s="3" t="s">
        <v>18</v>
      </c>
    </row>
    <row r="23" customFormat="false" ht="17.15" hidden="false" customHeight="false" outlineLevel="0" collapsed="false">
      <c r="B23" s="5" t="s">
        <v>19</v>
      </c>
    </row>
    <row r="24" customFormat="false" ht="15" hidden="false" customHeight="false" outlineLevel="0" collapsed="false">
      <c r="B24" s="6" t="s">
        <v>20</v>
      </c>
    </row>
    <row r="25" customFormat="false" ht="15" hidden="false" customHeight="false" outlineLevel="0" collapsed="false">
      <c r="B25" s="6" t="s">
        <v>21</v>
      </c>
    </row>
    <row r="26" customFormat="false" ht="15" hidden="false" customHeight="false" outlineLevel="0" collapsed="false">
      <c r="B26" s="6" t="s">
        <v>22</v>
      </c>
    </row>
    <row r="27" customFormat="false" ht="15" hidden="false" customHeight="false" outlineLevel="0" collapsed="false">
      <c r="B27" s="6" t="s">
        <v>23</v>
      </c>
    </row>
    <row r="28" customFormat="false" ht="15" hidden="false" customHeight="false" outlineLevel="0" collapsed="false">
      <c r="B28" s="6" t="s">
        <v>24</v>
      </c>
    </row>
    <row r="29" customFormat="false" ht="15" hidden="false" customHeight="false" outlineLevel="0" collapsed="false">
      <c r="B29" s="6" t="s">
        <v>25</v>
      </c>
    </row>
    <row r="31" customFormat="false" ht="26.85" hidden="false" customHeight="false" outlineLevel="0" collapsed="false">
      <c r="B31" s="7" t="s">
        <v>26</v>
      </c>
    </row>
    <row r="33" customFormat="false" ht="25.35" hidden="false" customHeight="false" outlineLevel="0" collapsed="false">
      <c r="B33" s="8"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34"/>
    <col collapsed="false" customWidth="true" hidden="false" outlineLevel="0" max="4" min="4" style="0" width="30"/>
  </cols>
  <sheetData>
    <row r="2" customFormat="false" ht="25.5" hidden="false" customHeight="true" outlineLevel="0" collapsed="false">
      <c r="B2" s="9" t="s">
        <v>28</v>
      </c>
      <c r="C2" s="9"/>
      <c r="D2" s="9"/>
    </row>
    <row r="3" customFormat="false" ht="15" hidden="false" customHeight="true" outlineLevel="0" collapsed="false">
      <c r="B3" s="10" t="s">
        <v>29</v>
      </c>
      <c r="C3" s="10"/>
      <c r="D3" s="10"/>
    </row>
    <row r="4" customFormat="false" ht="15" hidden="false" customHeight="false" outlineLevel="0" collapsed="false">
      <c r="B4" s="11" t="s">
        <v>30</v>
      </c>
      <c r="C4" s="11" t="s">
        <v>31</v>
      </c>
      <c r="D4" s="11" t="s">
        <v>32</v>
      </c>
    </row>
    <row r="5" customFormat="false" ht="21.75" hidden="false" customHeight="true" outlineLevel="0" collapsed="false">
      <c r="B5" s="12" t="s">
        <v>33</v>
      </c>
      <c r="C5" s="12"/>
      <c r="D5" s="12"/>
    </row>
    <row r="6" customFormat="false" ht="19.5" hidden="false" customHeight="true" outlineLevel="0" collapsed="false">
      <c r="B6" s="13" t="s">
        <v>34</v>
      </c>
      <c r="C6" s="14"/>
      <c r="D6" s="15" t="s">
        <v>35</v>
      </c>
    </row>
    <row r="7" customFormat="false" ht="19.5" hidden="false" customHeight="true" outlineLevel="0" collapsed="false">
      <c r="B7" s="13" t="s">
        <v>36</v>
      </c>
      <c r="C7" s="14"/>
      <c r="D7" s="15" t="s">
        <v>37</v>
      </c>
    </row>
    <row r="8" customFormat="false" ht="19.5" hidden="false" customHeight="true" outlineLevel="0" collapsed="false">
      <c r="B8" s="13" t="s">
        <v>38</v>
      </c>
      <c r="C8" s="14"/>
      <c r="D8" s="15" t="s">
        <v>39</v>
      </c>
    </row>
    <row r="9" customFormat="false" ht="19.5" hidden="false" customHeight="true" outlineLevel="0" collapsed="false">
      <c r="B9" s="13" t="s">
        <v>40</v>
      </c>
      <c r="C9" s="14"/>
      <c r="D9" s="15" t="s">
        <v>41</v>
      </c>
    </row>
    <row r="10" customFormat="false" ht="19.5" hidden="false" customHeight="true" outlineLevel="0" collapsed="false">
      <c r="B10" s="13" t="s">
        <v>42</v>
      </c>
      <c r="C10" s="14"/>
      <c r="D10" s="15" t="s">
        <v>43</v>
      </c>
    </row>
    <row r="11" customFormat="false" ht="19.5" hidden="false" customHeight="true" outlineLevel="0" collapsed="false">
      <c r="B11" s="13" t="s">
        <v>44</v>
      </c>
      <c r="C11" s="14"/>
      <c r="D11" s="15" t="s">
        <v>45</v>
      </c>
    </row>
    <row r="12" customFormat="false" ht="19.5" hidden="false" customHeight="true" outlineLevel="0" collapsed="false">
      <c r="B12" s="13" t="s">
        <v>46</v>
      </c>
      <c r="C12" s="14"/>
      <c r="D12" s="16" t="s">
        <v>47</v>
      </c>
    </row>
    <row r="13" customFormat="false" ht="19.5" hidden="false" customHeight="true" outlineLevel="0" collapsed="false">
      <c r="B13" s="13" t="s">
        <v>48</v>
      </c>
      <c r="C13" s="14"/>
      <c r="D13" s="15" t="s">
        <v>49</v>
      </c>
    </row>
    <row r="14" customFormat="false" ht="19.5" hidden="false" customHeight="true" outlineLevel="0" collapsed="false">
      <c r="B14" s="13" t="s">
        <v>50</v>
      </c>
      <c r="C14" s="14"/>
      <c r="D14" s="15" t="s">
        <v>51</v>
      </c>
    </row>
    <row r="15" customFormat="false" ht="19.5" hidden="false" customHeight="true" outlineLevel="0" collapsed="false">
      <c r="B15" s="13" t="s">
        <v>52</v>
      </c>
      <c r="C15" s="14"/>
      <c r="D15" s="15" t="s">
        <v>53</v>
      </c>
    </row>
    <row r="16" customFormat="false" ht="21.75" hidden="false" customHeight="true" outlineLevel="0" collapsed="false">
      <c r="B16" s="12" t="s">
        <v>54</v>
      </c>
      <c r="C16" s="12"/>
      <c r="D16" s="12"/>
    </row>
    <row r="17" customFormat="false" ht="19.5" hidden="false" customHeight="true" outlineLevel="0" collapsed="false">
      <c r="B17" s="13" t="s">
        <v>55</v>
      </c>
      <c r="C17" s="14"/>
      <c r="D17" s="15" t="s">
        <v>56</v>
      </c>
    </row>
    <row r="18" customFormat="false" ht="19.5" hidden="false" customHeight="true" outlineLevel="0" collapsed="false">
      <c r="B18" s="13" t="s">
        <v>57</v>
      </c>
      <c r="C18" s="14"/>
      <c r="D18" s="15" t="s">
        <v>58</v>
      </c>
    </row>
    <row r="19" customFormat="false" ht="19.5" hidden="false" customHeight="true" outlineLevel="0" collapsed="false">
      <c r="B19" s="13" t="s">
        <v>59</v>
      </c>
      <c r="C19" s="14"/>
      <c r="D19" s="15" t="s">
        <v>60</v>
      </c>
    </row>
    <row r="20" customFormat="false" ht="19.5" hidden="false" customHeight="true" outlineLevel="0" collapsed="false">
      <c r="B20" s="13" t="s">
        <v>61</v>
      </c>
      <c r="C20" s="14"/>
      <c r="D20" s="15" t="s">
        <v>62</v>
      </c>
    </row>
    <row r="21" customFormat="false" ht="19.5" hidden="false" customHeight="true" outlineLevel="0" collapsed="false">
      <c r="B21" s="13" t="s">
        <v>63</v>
      </c>
      <c r="C21" s="14"/>
      <c r="D21" s="15" t="s">
        <v>64</v>
      </c>
    </row>
    <row r="22" customFormat="false" ht="19.5" hidden="false" customHeight="true" outlineLevel="0" collapsed="false">
      <c r="B22" s="13" t="s">
        <v>65</v>
      </c>
      <c r="C22" s="14"/>
      <c r="D22" s="15" t="s">
        <v>66</v>
      </c>
    </row>
    <row r="23" customFormat="false" ht="21.75" hidden="false" customHeight="true" outlineLevel="0" collapsed="false">
      <c r="B23" s="12" t="s">
        <v>67</v>
      </c>
      <c r="C23" s="12"/>
      <c r="D23" s="12"/>
    </row>
    <row r="24" customFormat="false" ht="19.5" hidden="false" customHeight="true" outlineLevel="0" collapsed="false">
      <c r="B24" s="13" t="s">
        <v>68</v>
      </c>
      <c r="C24" s="14"/>
      <c r="D24" s="15" t="s">
        <v>69</v>
      </c>
    </row>
    <row r="25" customFormat="false" ht="19.5" hidden="false" customHeight="true" outlineLevel="0" collapsed="false">
      <c r="B25" s="13" t="s">
        <v>70</v>
      </c>
      <c r="C25" s="14"/>
      <c r="D25" s="15" t="s">
        <v>71</v>
      </c>
    </row>
    <row r="26" customFormat="false" ht="19.5" hidden="false" customHeight="true" outlineLevel="0" collapsed="false">
      <c r="B26" s="13" t="s">
        <v>72</v>
      </c>
      <c r="C26" s="14"/>
      <c r="D26" s="15" t="s">
        <v>73</v>
      </c>
    </row>
    <row r="27" customFormat="false" ht="19.5" hidden="false" customHeight="true" outlineLevel="0" collapsed="false">
      <c r="B27" s="13" t="s">
        <v>74</v>
      </c>
      <c r="C27" s="14"/>
      <c r="D27" s="15" t="s">
        <v>75</v>
      </c>
    </row>
    <row r="28" customFormat="false" ht="19.5" hidden="false" customHeight="true" outlineLevel="0" collapsed="false">
      <c r="B28" s="13" t="s">
        <v>76</v>
      </c>
      <c r="C28" s="14"/>
      <c r="D28" s="15" t="s">
        <v>77</v>
      </c>
    </row>
    <row r="29" customFormat="false" ht="21.75" hidden="false" customHeight="true" outlineLevel="0" collapsed="false">
      <c r="B29" s="12" t="s">
        <v>78</v>
      </c>
      <c r="C29" s="12"/>
      <c r="D29" s="12"/>
    </row>
    <row r="30" customFormat="false" ht="19.5" hidden="false" customHeight="true" outlineLevel="0" collapsed="false">
      <c r="B30" s="13" t="s">
        <v>79</v>
      </c>
      <c r="C30" s="14"/>
      <c r="D30" s="15" t="s">
        <v>80</v>
      </c>
    </row>
    <row r="31" customFormat="false" ht="19.5" hidden="false" customHeight="true" outlineLevel="0" collapsed="false">
      <c r="B31" s="13" t="s">
        <v>81</v>
      </c>
      <c r="C31" s="14"/>
      <c r="D31" s="15" t="s">
        <v>82</v>
      </c>
    </row>
    <row r="32" customFormat="false" ht="19.5" hidden="false" customHeight="true" outlineLevel="0" collapsed="false">
      <c r="B32" s="13" t="s">
        <v>83</v>
      </c>
      <c r="C32" s="14"/>
      <c r="D32" s="15" t="s">
        <v>84</v>
      </c>
    </row>
    <row r="33" customFormat="false" ht="19.5" hidden="false" customHeight="true" outlineLevel="0" collapsed="false">
      <c r="B33" s="13" t="s">
        <v>85</v>
      </c>
      <c r="C33" s="14"/>
      <c r="D33" s="15" t="s">
        <v>73</v>
      </c>
    </row>
    <row r="34" customFormat="false" ht="19.5" hidden="false" customHeight="true" outlineLevel="0" collapsed="false">
      <c r="B34" s="13" t="s">
        <v>86</v>
      </c>
      <c r="C34" s="14"/>
      <c r="D34" s="15" t="s">
        <v>73</v>
      </c>
    </row>
    <row r="35" customFormat="false" ht="19.5" hidden="false" customHeight="true" outlineLevel="0" collapsed="false">
      <c r="B35" s="13" t="s">
        <v>87</v>
      </c>
      <c r="C35" s="14"/>
      <c r="D35" s="15" t="s">
        <v>88</v>
      </c>
    </row>
    <row r="36" customFormat="false" ht="21.75" hidden="false" customHeight="true" outlineLevel="0" collapsed="false">
      <c r="B36" s="12" t="s">
        <v>89</v>
      </c>
      <c r="C36" s="12"/>
      <c r="D36" s="12"/>
    </row>
    <row r="37" customFormat="false" ht="19.5" hidden="false" customHeight="true" outlineLevel="0" collapsed="false">
      <c r="B37" s="13" t="s">
        <v>90</v>
      </c>
      <c r="C37" s="14"/>
      <c r="D37" s="15" t="s">
        <v>91</v>
      </c>
    </row>
    <row r="38" customFormat="false" ht="19.5" hidden="false" customHeight="true" outlineLevel="0" collapsed="false">
      <c r="B38" s="13" t="s">
        <v>92</v>
      </c>
      <c r="C38" s="14"/>
      <c r="D38" s="15" t="s">
        <v>66</v>
      </c>
    </row>
  </sheetData>
  <mergeCells count="7">
    <mergeCell ref="B2:D2"/>
    <mergeCell ref="B3:D3"/>
    <mergeCell ref="B5:D5"/>
    <mergeCell ref="B16:D16"/>
    <mergeCell ref="B23:D23"/>
    <mergeCell ref="B29:D29"/>
    <mergeCell ref="B36:D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3"/>
    <col collapsed="false" customWidth="true" hidden="false" outlineLevel="0" max="3" min="3" style="0" width="17"/>
    <col collapsed="false" customWidth="true" hidden="false" outlineLevel="0" max="4" min="4" style="0" width="12"/>
    <col collapsed="false" customWidth="true" hidden="false" outlineLevel="0" max="6" min="5" style="0" width="46"/>
    <col collapsed="false" customWidth="true" hidden="false" outlineLevel="0" max="7" min="7" style="0" width="40"/>
    <col collapsed="false" customWidth="true" hidden="false" outlineLevel="0" max="8" min="8" style="0" width="9"/>
    <col collapsed="false" customWidth="true" hidden="false" outlineLevel="0" max="9" min="9" style="0" width="26"/>
    <col collapsed="false" customWidth="true" hidden="false" outlineLevel="0" max="10" min="10" style="0" width="22"/>
    <col collapsed="false" customWidth="true" hidden="false" outlineLevel="0" max="11" min="11" style="0" width="7"/>
    <col collapsed="false" customWidth="true" hidden="false" outlineLevel="0" max="12" min="12" style="0" width="5"/>
    <col collapsed="false" customWidth="true" hidden="false" outlineLevel="0" max="13" min="13" style="0" width="18"/>
    <col collapsed="false" customWidth="true" hidden="false" outlineLevel="0" max="14" min="14" style="0" width="34"/>
    <col collapsed="false" customWidth="true" hidden="true" outlineLevel="0" max="16" min="15" style="0" width="7"/>
  </cols>
  <sheetData>
    <row r="1" customFormat="false" ht="24" hidden="false" customHeight="true" outlineLevel="0" collapsed="false">
      <c r="A1" s="17" t="s">
        <v>93</v>
      </c>
      <c r="E1" s="18" t="s">
        <v>94</v>
      </c>
      <c r="F1" s="19" t="n">
        <f aca="false">IF(SUM(O6:O138)=0,"",ROUND(SUM(P6:P138)/SUM(O6:O138)*100,1))</f>
        <v>0</v>
      </c>
    </row>
    <row r="2" customFormat="false" ht="15" hidden="false" customHeight="false" outlineLevel="0" collapsed="false">
      <c r="A2" s="20" t="s">
        <v>95</v>
      </c>
    </row>
    <row r="3" customFormat="false" ht="15" hidden="false" customHeight="false" outlineLevel="0" collapsed="false">
      <c r="A3" s="21" t="s">
        <v>96</v>
      </c>
    </row>
    <row r="4" customFormat="false" ht="30" hidden="false" customHeight="true" outlineLevel="0" collapsed="false">
      <c r="A4" s="22" t="s">
        <v>97</v>
      </c>
      <c r="B4" s="22" t="s">
        <v>98</v>
      </c>
      <c r="C4" s="22" t="s">
        <v>99</v>
      </c>
      <c r="D4" s="22" t="s">
        <v>100</v>
      </c>
      <c r="E4" s="22" t="s">
        <v>101</v>
      </c>
      <c r="F4" s="23" t="s">
        <v>102</v>
      </c>
      <c r="G4" s="22" t="s">
        <v>103</v>
      </c>
      <c r="H4" s="22" t="s">
        <v>104</v>
      </c>
      <c r="I4" s="22" t="s">
        <v>105</v>
      </c>
      <c r="J4" s="22" t="s">
        <v>106</v>
      </c>
      <c r="K4" s="22" t="s">
        <v>107</v>
      </c>
      <c r="L4" s="22" t="s">
        <v>108</v>
      </c>
      <c r="M4" s="22" t="s">
        <v>109</v>
      </c>
      <c r="N4" s="22" t="s">
        <v>110</v>
      </c>
      <c r="O4" s="22" t="s">
        <v>111</v>
      </c>
      <c r="P4" s="22" t="s">
        <v>112</v>
      </c>
    </row>
    <row r="5" customFormat="false" ht="25.5" hidden="false" customHeight="true" outlineLevel="0" collapsed="false">
      <c r="A5" s="24" t="s">
        <v>113</v>
      </c>
      <c r="B5" s="24" t="s">
        <v>114</v>
      </c>
      <c r="C5" s="25" t="s">
        <v>115</v>
      </c>
      <c r="D5" s="24" t="s">
        <v>116</v>
      </c>
      <c r="E5" s="24" t="s">
        <v>117</v>
      </c>
      <c r="F5" s="25" t="s">
        <v>118</v>
      </c>
      <c r="G5" s="24" t="s">
        <v>119</v>
      </c>
      <c r="H5" s="24" t="s">
        <v>120</v>
      </c>
      <c r="I5" s="24" t="s">
        <v>121</v>
      </c>
      <c r="J5" s="24" t="s">
        <v>122</v>
      </c>
      <c r="K5" s="25" t="s">
        <v>123</v>
      </c>
      <c r="L5" s="25" t="n">
        <v>1</v>
      </c>
      <c r="M5" s="25" t="s">
        <v>124</v>
      </c>
      <c r="N5" s="24" t="s">
        <v>125</v>
      </c>
      <c r="O5" s="26" t="n">
        <f aca="false">IF(H5="不适用",0,L5)</f>
        <v>1</v>
      </c>
      <c r="P5" s="26" t="n">
        <f aca="false">IF(H5="是",L5,0)</f>
        <v>1</v>
      </c>
    </row>
    <row r="6" customFormat="false" ht="42" hidden="false" customHeight="true" outlineLevel="0" collapsed="false">
      <c r="A6" s="27" t="n">
        <v>1</v>
      </c>
      <c r="B6" s="28" t="s">
        <v>126</v>
      </c>
      <c r="C6" s="29" t="s">
        <v>127</v>
      </c>
      <c r="D6" s="30" t="s">
        <v>128</v>
      </c>
      <c r="E6" s="29" t="s">
        <v>129</v>
      </c>
      <c r="F6" s="28" t="s">
        <v>130</v>
      </c>
      <c r="G6" s="29" t="s">
        <v>131</v>
      </c>
      <c r="H6" s="31"/>
      <c r="I6" s="32"/>
      <c r="J6" s="32"/>
      <c r="K6" s="33" t="s">
        <v>123</v>
      </c>
      <c r="L6" s="30" t="n">
        <v>1</v>
      </c>
      <c r="M6" s="28" t="s">
        <v>132</v>
      </c>
      <c r="N6" s="28" t="s">
        <v>133</v>
      </c>
      <c r="O6" s="26" t="n">
        <f aca="false">IF(H6="不适用",0,L6)</f>
        <v>1</v>
      </c>
      <c r="P6" s="26" t="n">
        <f aca="false">IF(H6="是",L6,0)</f>
        <v>0</v>
      </c>
    </row>
    <row r="7" customFormat="false" ht="42" hidden="false" customHeight="true" outlineLevel="0" collapsed="false">
      <c r="A7" s="27" t="n">
        <v>2</v>
      </c>
      <c r="B7" s="28" t="s">
        <v>126</v>
      </c>
      <c r="C7" s="29" t="s">
        <v>134</v>
      </c>
      <c r="D7" s="30" t="s">
        <v>135</v>
      </c>
      <c r="E7" s="29" t="s">
        <v>136</v>
      </c>
      <c r="F7" s="28" t="s">
        <v>137</v>
      </c>
      <c r="G7" s="29" t="s">
        <v>138</v>
      </c>
      <c r="H7" s="31"/>
      <c r="I7" s="32"/>
      <c r="J7" s="32"/>
      <c r="K7" s="34" t="s">
        <v>139</v>
      </c>
      <c r="L7" s="30" t="n">
        <v>1</v>
      </c>
      <c r="M7" s="28" t="s">
        <v>140</v>
      </c>
      <c r="N7" s="28" t="s">
        <v>141</v>
      </c>
      <c r="O7" s="26" t="n">
        <f aca="false">IF(H7="不适用",0,L7)</f>
        <v>1</v>
      </c>
      <c r="P7" s="26" t="n">
        <f aca="false">IF(H7="是",L7,0)</f>
        <v>0</v>
      </c>
    </row>
    <row r="8" customFormat="false" ht="42" hidden="false" customHeight="true" outlineLevel="0" collapsed="false">
      <c r="A8" s="27" t="n">
        <v>3</v>
      </c>
      <c r="B8" s="28" t="s">
        <v>126</v>
      </c>
      <c r="C8" s="29" t="s">
        <v>142</v>
      </c>
      <c r="D8" s="30" t="s">
        <v>135</v>
      </c>
      <c r="E8" s="29" t="s">
        <v>143</v>
      </c>
      <c r="F8" s="28" t="s">
        <v>144</v>
      </c>
      <c r="G8" s="29" t="s">
        <v>145</v>
      </c>
      <c r="H8" s="31"/>
      <c r="I8" s="32"/>
      <c r="J8" s="32"/>
      <c r="K8" s="33" t="s">
        <v>123</v>
      </c>
      <c r="L8" s="35" t="n">
        <v>3</v>
      </c>
      <c r="M8" s="28" t="s">
        <v>146</v>
      </c>
      <c r="N8" s="28" t="s">
        <v>147</v>
      </c>
      <c r="O8" s="26" t="n">
        <f aca="false">IF(H8="不适用",0,L8)</f>
        <v>3</v>
      </c>
      <c r="P8" s="26" t="n">
        <f aca="false">IF(H8="是",L8,0)</f>
        <v>0</v>
      </c>
    </row>
    <row r="9" customFormat="false" ht="42" hidden="false" customHeight="true" outlineLevel="0" collapsed="false">
      <c r="A9" s="27" t="n">
        <v>4</v>
      </c>
      <c r="B9" s="28" t="s">
        <v>126</v>
      </c>
      <c r="C9" s="29" t="s">
        <v>134</v>
      </c>
      <c r="D9" s="30" t="s">
        <v>135</v>
      </c>
      <c r="E9" s="29" t="s">
        <v>148</v>
      </c>
      <c r="F9" s="28" t="s">
        <v>149</v>
      </c>
      <c r="G9" s="29" t="s">
        <v>150</v>
      </c>
      <c r="H9" s="31"/>
      <c r="I9" s="32"/>
      <c r="J9" s="32"/>
      <c r="K9" s="34" t="s">
        <v>139</v>
      </c>
      <c r="L9" s="30" t="n">
        <v>1</v>
      </c>
      <c r="M9" s="28" t="s">
        <v>140</v>
      </c>
      <c r="N9" s="28" t="s">
        <v>141</v>
      </c>
      <c r="O9" s="26" t="n">
        <f aca="false">IF(H9="不适用",0,L9)</f>
        <v>1</v>
      </c>
      <c r="P9" s="26" t="n">
        <f aca="false">IF(H9="是",L9,0)</f>
        <v>0</v>
      </c>
    </row>
    <row r="10" customFormat="false" ht="42" hidden="false" customHeight="true" outlineLevel="0" collapsed="false">
      <c r="A10" s="27" t="n">
        <v>5</v>
      </c>
      <c r="B10" s="28" t="s">
        <v>126</v>
      </c>
      <c r="C10" s="29" t="s">
        <v>151</v>
      </c>
      <c r="D10" s="30" t="s">
        <v>152</v>
      </c>
      <c r="E10" s="29" t="s">
        <v>153</v>
      </c>
      <c r="F10" s="28" t="s">
        <v>154</v>
      </c>
      <c r="G10" s="29" t="s">
        <v>155</v>
      </c>
      <c r="H10" s="31"/>
      <c r="I10" s="32"/>
      <c r="J10" s="32"/>
      <c r="K10" s="27" t="s">
        <v>156</v>
      </c>
      <c r="L10" s="30" t="n">
        <v>1</v>
      </c>
      <c r="M10" s="28" t="s">
        <v>157</v>
      </c>
      <c r="N10" s="28" t="s">
        <v>158</v>
      </c>
      <c r="O10" s="26" t="n">
        <f aca="false">IF(H10="不适用",0,L10)</f>
        <v>1</v>
      </c>
      <c r="P10" s="26" t="n">
        <f aca="false">IF(H10="是",L10,0)</f>
        <v>0</v>
      </c>
    </row>
    <row r="11" customFormat="false" ht="42" hidden="false" customHeight="true" outlineLevel="0" collapsed="false">
      <c r="A11" s="27" t="n">
        <v>6</v>
      </c>
      <c r="B11" s="28" t="s">
        <v>126</v>
      </c>
      <c r="C11" s="29" t="s">
        <v>134</v>
      </c>
      <c r="D11" s="30" t="s">
        <v>135</v>
      </c>
      <c r="E11" s="29" t="s">
        <v>159</v>
      </c>
      <c r="F11" s="28" t="s">
        <v>160</v>
      </c>
      <c r="G11" s="29" t="s">
        <v>161</v>
      </c>
      <c r="H11" s="31"/>
      <c r="I11" s="32"/>
      <c r="J11" s="32"/>
      <c r="K11" s="34" t="s">
        <v>139</v>
      </c>
      <c r="L11" s="30" t="n">
        <v>1</v>
      </c>
      <c r="M11" s="28" t="s">
        <v>162</v>
      </c>
      <c r="N11" s="28" t="s">
        <v>141</v>
      </c>
      <c r="O11" s="26" t="n">
        <f aca="false">IF(H11="不适用",0,L11)</f>
        <v>1</v>
      </c>
      <c r="P11" s="26" t="n">
        <f aca="false">IF(H11="是",L11,0)</f>
        <v>0</v>
      </c>
    </row>
    <row r="12" customFormat="false" ht="42" hidden="false" customHeight="true" outlineLevel="0" collapsed="false">
      <c r="A12" s="27" t="n">
        <v>7</v>
      </c>
      <c r="B12" s="28" t="s">
        <v>126</v>
      </c>
      <c r="C12" s="29" t="s">
        <v>163</v>
      </c>
      <c r="D12" s="30" t="s">
        <v>128</v>
      </c>
      <c r="E12" s="29" t="s">
        <v>164</v>
      </c>
      <c r="F12" s="28" t="s">
        <v>165</v>
      </c>
      <c r="G12" s="28" t="s">
        <v>166</v>
      </c>
      <c r="H12" s="31"/>
      <c r="I12" s="32"/>
      <c r="J12" s="32"/>
      <c r="K12" s="33" t="s">
        <v>123</v>
      </c>
      <c r="L12" s="30" t="n">
        <v>1</v>
      </c>
      <c r="M12" s="28" t="s">
        <v>167</v>
      </c>
      <c r="N12" s="28" t="s">
        <v>168</v>
      </c>
      <c r="O12" s="26" t="n">
        <f aca="false">IF(H12="不适用",0,L12)</f>
        <v>1</v>
      </c>
      <c r="P12" s="26" t="n">
        <f aca="false">IF(H12="是",L12,0)</f>
        <v>0</v>
      </c>
    </row>
    <row r="13" customFormat="false" ht="42" hidden="false" customHeight="true" outlineLevel="0" collapsed="false">
      <c r="A13" s="27" t="n">
        <v>8</v>
      </c>
      <c r="B13" s="28" t="s">
        <v>126</v>
      </c>
      <c r="C13" s="29" t="s">
        <v>169</v>
      </c>
      <c r="D13" s="30" t="s">
        <v>152</v>
      </c>
      <c r="E13" s="29" t="s">
        <v>170</v>
      </c>
      <c r="F13" s="28" t="s">
        <v>171</v>
      </c>
      <c r="G13" s="28" t="s">
        <v>172</v>
      </c>
      <c r="H13" s="31"/>
      <c r="I13" s="32"/>
      <c r="J13" s="32"/>
      <c r="K13" s="33" t="s">
        <v>123</v>
      </c>
      <c r="L13" s="35" t="n">
        <v>3</v>
      </c>
      <c r="M13" s="28" t="s">
        <v>173</v>
      </c>
      <c r="N13" s="28" t="s">
        <v>174</v>
      </c>
      <c r="O13" s="26" t="n">
        <f aca="false">IF(H13="不适用",0,L13)</f>
        <v>3</v>
      </c>
      <c r="P13" s="26" t="n">
        <f aca="false">IF(H13="是",L13,0)</f>
        <v>0</v>
      </c>
    </row>
    <row r="14" customFormat="false" ht="42" hidden="false" customHeight="true" outlineLevel="0" collapsed="false">
      <c r="A14" s="36" t="n">
        <v>9</v>
      </c>
      <c r="B14" s="37" t="s">
        <v>175</v>
      </c>
      <c r="C14" s="38" t="s">
        <v>176</v>
      </c>
      <c r="D14" s="39" t="s">
        <v>135</v>
      </c>
      <c r="E14" s="38" t="s">
        <v>177</v>
      </c>
      <c r="F14" s="37" t="s">
        <v>178</v>
      </c>
      <c r="G14" s="37" t="s">
        <v>179</v>
      </c>
      <c r="H14" s="31"/>
      <c r="I14" s="32"/>
      <c r="J14" s="32"/>
      <c r="K14" s="40" t="s">
        <v>139</v>
      </c>
      <c r="L14" s="39" t="n">
        <v>1</v>
      </c>
      <c r="M14" s="37" t="s">
        <v>180</v>
      </c>
      <c r="N14" s="37" t="s">
        <v>141</v>
      </c>
      <c r="O14" s="26" t="n">
        <f aca="false">IF(H14="不适用",0,L14)</f>
        <v>1</v>
      </c>
      <c r="P14" s="26" t="n">
        <f aca="false">IF(H14="是",L14,0)</f>
        <v>0</v>
      </c>
    </row>
    <row r="15" customFormat="false" ht="42" hidden="false" customHeight="true" outlineLevel="0" collapsed="false">
      <c r="A15" s="36" t="n">
        <v>10</v>
      </c>
      <c r="B15" s="37" t="s">
        <v>175</v>
      </c>
      <c r="C15" s="38" t="s">
        <v>176</v>
      </c>
      <c r="D15" s="39" t="s">
        <v>135</v>
      </c>
      <c r="E15" s="38" t="s">
        <v>181</v>
      </c>
      <c r="F15" s="37" t="s">
        <v>182</v>
      </c>
      <c r="G15" s="37" t="s">
        <v>183</v>
      </c>
      <c r="H15" s="31"/>
      <c r="I15" s="32"/>
      <c r="J15" s="32"/>
      <c r="K15" s="41" t="s">
        <v>123</v>
      </c>
      <c r="L15" s="39" t="n">
        <v>1</v>
      </c>
      <c r="M15" s="37" t="s">
        <v>180</v>
      </c>
      <c r="N15" s="37" t="s">
        <v>141</v>
      </c>
      <c r="O15" s="26" t="n">
        <f aca="false">IF(H15="不适用",0,L15)</f>
        <v>1</v>
      </c>
      <c r="P15" s="26" t="n">
        <f aca="false">IF(H15="是",L15,0)</f>
        <v>0</v>
      </c>
    </row>
    <row r="16" customFormat="false" ht="42" hidden="false" customHeight="true" outlineLevel="0" collapsed="false">
      <c r="A16" s="36" t="n">
        <v>11</v>
      </c>
      <c r="B16" s="37" t="s">
        <v>175</v>
      </c>
      <c r="C16" s="38" t="s">
        <v>176</v>
      </c>
      <c r="D16" s="39" t="s">
        <v>135</v>
      </c>
      <c r="E16" s="38" t="s">
        <v>184</v>
      </c>
      <c r="F16" s="37" t="s">
        <v>185</v>
      </c>
      <c r="G16" s="38"/>
      <c r="H16" s="31"/>
      <c r="I16" s="32"/>
      <c r="J16" s="32"/>
      <c r="K16" s="41" t="s">
        <v>123</v>
      </c>
      <c r="L16" s="39" t="n">
        <v>1</v>
      </c>
      <c r="M16" s="37" t="s">
        <v>180</v>
      </c>
      <c r="N16" s="37" t="s">
        <v>141</v>
      </c>
      <c r="O16" s="26" t="n">
        <f aca="false">IF(H16="不适用",0,L16)</f>
        <v>1</v>
      </c>
      <c r="P16" s="26" t="n">
        <f aca="false">IF(H16="是",L16,0)</f>
        <v>0</v>
      </c>
    </row>
    <row r="17" customFormat="false" ht="42" hidden="false" customHeight="true" outlineLevel="0" collapsed="false">
      <c r="A17" s="36" t="n">
        <v>12</v>
      </c>
      <c r="B17" s="37" t="s">
        <v>175</v>
      </c>
      <c r="C17" s="38" t="s">
        <v>176</v>
      </c>
      <c r="D17" s="39" t="s">
        <v>135</v>
      </c>
      <c r="E17" s="38" t="s">
        <v>186</v>
      </c>
      <c r="F17" s="37" t="s">
        <v>187</v>
      </c>
      <c r="G17" s="37" t="s">
        <v>188</v>
      </c>
      <c r="H17" s="31"/>
      <c r="I17" s="32"/>
      <c r="J17" s="32"/>
      <c r="K17" s="41" t="s">
        <v>123</v>
      </c>
      <c r="L17" s="39" t="n">
        <v>1</v>
      </c>
      <c r="M17" s="37" t="s">
        <v>180</v>
      </c>
      <c r="N17" s="37" t="s">
        <v>141</v>
      </c>
      <c r="O17" s="26" t="n">
        <f aca="false">IF(H17="不适用",0,L17)</f>
        <v>1</v>
      </c>
      <c r="P17" s="26" t="n">
        <f aca="false">IF(H17="是",L17,0)</f>
        <v>0</v>
      </c>
    </row>
    <row r="18" customFormat="false" ht="42" hidden="false" customHeight="true" outlineLevel="0" collapsed="false">
      <c r="A18" s="36" t="n">
        <v>13</v>
      </c>
      <c r="B18" s="37" t="s">
        <v>175</v>
      </c>
      <c r="C18" s="38" t="s">
        <v>176</v>
      </c>
      <c r="D18" s="39" t="s">
        <v>135</v>
      </c>
      <c r="E18" s="38" t="s">
        <v>189</v>
      </c>
      <c r="F18" s="37" t="s">
        <v>190</v>
      </c>
      <c r="G18" s="38"/>
      <c r="H18" s="31"/>
      <c r="I18" s="32"/>
      <c r="J18" s="32"/>
      <c r="K18" s="40" t="s">
        <v>139</v>
      </c>
      <c r="L18" s="39" t="n">
        <v>1</v>
      </c>
      <c r="M18" s="37" t="s">
        <v>180</v>
      </c>
      <c r="N18" s="37" t="s">
        <v>141</v>
      </c>
      <c r="O18" s="26" t="n">
        <f aca="false">IF(H18="不适用",0,L18)</f>
        <v>1</v>
      </c>
      <c r="P18" s="26" t="n">
        <f aca="false">IF(H18="是",L18,0)</f>
        <v>0</v>
      </c>
    </row>
    <row r="19" customFormat="false" ht="42" hidden="false" customHeight="true" outlineLevel="0" collapsed="false">
      <c r="A19" s="36" t="n">
        <v>14</v>
      </c>
      <c r="B19" s="37" t="s">
        <v>175</v>
      </c>
      <c r="C19" s="38" t="s">
        <v>191</v>
      </c>
      <c r="D19" s="39" t="s">
        <v>128</v>
      </c>
      <c r="E19" s="38" t="s">
        <v>192</v>
      </c>
      <c r="F19" s="37" t="s">
        <v>193</v>
      </c>
      <c r="G19" s="37" t="s">
        <v>194</v>
      </c>
      <c r="H19" s="31"/>
      <c r="I19" s="32"/>
      <c r="J19" s="32"/>
      <c r="K19" s="36" t="s">
        <v>156</v>
      </c>
      <c r="L19" s="39" t="n">
        <v>1</v>
      </c>
      <c r="M19" s="37" t="s">
        <v>195</v>
      </c>
      <c r="N19" s="37" t="s">
        <v>196</v>
      </c>
      <c r="O19" s="26" t="n">
        <f aca="false">IF(H19="不适用",0,L19)</f>
        <v>1</v>
      </c>
      <c r="P19" s="26" t="n">
        <f aca="false">IF(H19="是",L19,0)</f>
        <v>0</v>
      </c>
    </row>
    <row r="20" customFormat="false" ht="42" hidden="false" customHeight="true" outlineLevel="0" collapsed="false">
      <c r="A20" s="36" t="n">
        <v>15</v>
      </c>
      <c r="B20" s="37" t="s">
        <v>175</v>
      </c>
      <c r="C20" s="38" t="s">
        <v>191</v>
      </c>
      <c r="D20" s="39" t="s">
        <v>128</v>
      </c>
      <c r="E20" s="38" t="s">
        <v>197</v>
      </c>
      <c r="F20" s="37" t="s">
        <v>198</v>
      </c>
      <c r="G20" s="37" t="s">
        <v>199</v>
      </c>
      <c r="H20" s="31"/>
      <c r="I20" s="32"/>
      <c r="J20" s="32"/>
      <c r="K20" s="36" t="s">
        <v>156</v>
      </c>
      <c r="L20" s="39" t="n">
        <v>1</v>
      </c>
      <c r="M20" s="37" t="s">
        <v>200</v>
      </c>
      <c r="N20" s="37" t="s">
        <v>201</v>
      </c>
      <c r="O20" s="26" t="n">
        <f aca="false">IF(H20="不适用",0,L20)</f>
        <v>1</v>
      </c>
      <c r="P20" s="26" t="n">
        <f aca="false">IF(H20="是",L20,0)</f>
        <v>0</v>
      </c>
    </row>
    <row r="21" customFormat="false" ht="42" hidden="false" customHeight="true" outlineLevel="0" collapsed="false">
      <c r="A21" s="36" t="n">
        <v>16</v>
      </c>
      <c r="B21" s="37" t="s">
        <v>175</v>
      </c>
      <c r="C21" s="38" t="s">
        <v>134</v>
      </c>
      <c r="D21" s="39" t="s">
        <v>152</v>
      </c>
      <c r="E21" s="38" t="s">
        <v>202</v>
      </c>
      <c r="F21" s="37" t="s">
        <v>203</v>
      </c>
      <c r="G21" s="38"/>
      <c r="H21" s="31"/>
      <c r="I21" s="32"/>
      <c r="J21" s="32"/>
      <c r="K21" s="40" t="s">
        <v>139</v>
      </c>
      <c r="L21" s="39" t="n">
        <v>1</v>
      </c>
      <c r="M21" s="37" t="s">
        <v>204</v>
      </c>
      <c r="N21" s="37" t="s">
        <v>141</v>
      </c>
      <c r="O21" s="26" t="n">
        <f aca="false">IF(H21="不适用",0,L21)</f>
        <v>1</v>
      </c>
      <c r="P21" s="26" t="n">
        <f aca="false">IF(H21="是",L21,0)</f>
        <v>0</v>
      </c>
    </row>
    <row r="22" customFormat="false" ht="42" hidden="false" customHeight="true" outlineLevel="0" collapsed="false">
      <c r="A22" s="36" t="n">
        <v>17</v>
      </c>
      <c r="B22" s="37" t="s">
        <v>175</v>
      </c>
      <c r="C22" s="38" t="s">
        <v>205</v>
      </c>
      <c r="D22" s="39" t="s">
        <v>152</v>
      </c>
      <c r="E22" s="38" t="s">
        <v>206</v>
      </c>
      <c r="F22" s="37" t="s">
        <v>207</v>
      </c>
      <c r="G22" s="37" t="s">
        <v>208</v>
      </c>
      <c r="H22" s="31"/>
      <c r="I22" s="32"/>
      <c r="J22" s="32"/>
      <c r="K22" s="40" t="s">
        <v>139</v>
      </c>
      <c r="L22" s="39" t="n">
        <v>1</v>
      </c>
      <c r="M22" s="37" t="s">
        <v>209</v>
      </c>
      <c r="N22" s="37" t="s">
        <v>141</v>
      </c>
      <c r="O22" s="26" t="n">
        <f aca="false">IF(H22="不适用",0,L22)</f>
        <v>1</v>
      </c>
      <c r="P22" s="26" t="n">
        <f aca="false">IF(H22="是",L22,0)</f>
        <v>0</v>
      </c>
    </row>
    <row r="23" customFormat="false" ht="42" hidden="false" customHeight="true" outlineLevel="0" collapsed="false">
      <c r="A23" s="36" t="n">
        <v>18</v>
      </c>
      <c r="B23" s="37" t="s">
        <v>175</v>
      </c>
      <c r="C23" s="38" t="s">
        <v>210</v>
      </c>
      <c r="D23" s="39" t="s">
        <v>152</v>
      </c>
      <c r="E23" s="38" t="s">
        <v>211</v>
      </c>
      <c r="F23" s="37" t="s">
        <v>212</v>
      </c>
      <c r="G23" s="37" t="s">
        <v>213</v>
      </c>
      <c r="H23" s="31"/>
      <c r="I23" s="32"/>
      <c r="J23" s="32"/>
      <c r="K23" s="40" t="s">
        <v>139</v>
      </c>
      <c r="L23" s="39" t="n">
        <v>1</v>
      </c>
      <c r="M23" s="37" t="s">
        <v>214</v>
      </c>
      <c r="N23" s="37" t="s">
        <v>141</v>
      </c>
      <c r="O23" s="26" t="n">
        <f aca="false">IF(H23="不适用",0,L23)</f>
        <v>1</v>
      </c>
      <c r="P23" s="26" t="n">
        <f aca="false">IF(H23="是",L23,0)</f>
        <v>0</v>
      </c>
    </row>
    <row r="24" customFormat="false" ht="42" hidden="false" customHeight="true" outlineLevel="0" collapsed="false">
      <c r="A24" s="36" t="n">
        <v>19</v>
      </c>
      <c r="B24" s="37" t="s">
        <v>175</v>
      </c>
      <c r="C24" s="38" t="s">
        <v>210</v>
      </c>
      <c r="D24" s="39" t="s">
        <v>152</v>
      </c>
      <c r="E24" s="38" t="s">
        <v>215</v>
      </c>
      <c r="F24" s="37" t="s">
        <v>216</v>
      </c>
      <c r="G24" s="37" t="s">
        <v>217</v>
      </c>
      <c r="H24" s="31"/>
      <c r="I24" s="32"/>
      <c r="J24" s="32"/>
      <c r="K24" s="41" t="s">
        <v>123</v>
      </c>
      <c r="L24" s="39" t="n">
        <v>1</v>
      </c>
      <c r="M24" s="37" t="s">
        <v>214</v>
      </c>
      <c r="N24" s="37" t="s">
        <v>141</v>
      </c>
      <c r="O24" s="26" t="n">
        <f aca="false">IF(H24="不适用",0,L24)</f>
        <v>1</v>
      </c>
      <c r="P24" s="26" t="n">
        <f aca="false">IF(H24="是",L24,0)</f>
        <v>0</v>
      </c>
    </row>
    <row r="25" customFormat="false" ht="42" hidden="false" customHeight="true" outlineLevel="0" collapsed="false">
      <c r="A25" s="36" t="n">
        <v>20</v>
      </c>
      <c r="B25" s="37" t="s">
        <v>175</v>
      </c>
      <c r="C25" s="38" t="s">
        <v>210</v>
      </c>
      <c r="D25" s="39" t="s">
        <v>152</v>
      </c>
      <c r="E25" s="38" t="s">
        <v>218</v>
      </c>
      <c r="F25" s="37" t="s">
        <v>219</v>
      </c>
      <c r="G25" s="37" t="s">
        <v>217</v>
      </c>
      <c r="H25" s="31"/>
      <c r="I25" s="32"/>
      <c r="J25" s="32"/>
      <c r="K25" s="41" t="s">
        <v>123</v>
      </c>
      <c r="L25" s="39" t="n">
        <v>1</v>
      </c>
      <c r="M25" s="37" t="s">
        <v>214</v>
      </c>
      <c r="N25" s="37" t="s">
        <v>141</v>
      </c>
      <c r="O25" s="26" t="n">
        <f aca="false">IF(H25="不适用",0,L25)</f>
        <v>1</v>
      </c>
      <c r="P25" s="26" t="n">
        <f aca="false">IF(H25="是",L25,0)</f>
        <v>0</v>
      </c>
    </row>
    <row r="26" customFormat="false" ht="42" hidden="false" customHeight="true" outlineLevel="0" collapsed="false">
      <c r="A26" s="36" t="n">
        <v>21</v>
      </c>
      <c r="B26" s="37" t="s">
        <v>175</v>
      </c>
      <c r="C26" s="38" t="s">
        <v>210</v>
      </c>
      <c r="D26" s="39" t="s">
        <v>152</v>
      </c>
      <c r="E26" s="38" t="s">
        <v>220</v>
      </c>
      <c r="F26" s="37" t="s">
        <v>221</v>
      </c>
      <c r="G26" s="37" t="s">
        <v>222</v>
      </c>
      <c r="H26" s="31"/>
      <c r="I26" s="32"/>
      <c r="J26" s="32"/>
      <c r="K26" s="40" t="s">
        <v>139</v>
      </c>
      <c r="L26" s="39" t="n">
        <v>1</v>
      </c>
      <c r="M26" s="37" t="s">
        <v>214</v>
      </c>
      <c r="N26" s="37" t="s">
        <v>141</v>
      </c>
      <c r="O26" s="26" t="n">
        <f aca="false">IF(H26="不适用",0,L26)</f>
        <v>1</v>
      </c>
      <c r="P26" s="26" t="n">
        <f aca="false">IF(H26="是",L26,0)</f>
        <v>0</v>
      </c>
    </row>
    <row r="27" customFormat="false" ht="42" hidden="false" customHeight="true" outlineLevel="0" collapsed="false">
      <c r="A27" s="36" t="n">
        <v>22</v>
      </c>
      <c r="B27" s="37" t="s">
        <v>175</v>
      </c>
      <c r="C27" s="38" t="s">
        <v>210</v>
      </c>
      <c r="D27" s="39" t="s">
        <v>152</v>
      </c>
      <c r="E27" s="38" t="s">
        <v>223</v>
      </c>
      <c r="F27" s="37" t="s">
        <v>224</v>
      </c>
      <c r="G27" s="38" t="s">
        <v>225</v>
      </c>
      <c r="H27" s="31"/>
      <c r="I27" s="32"/>
      <c r="J27" s="32"/>
      <c r="K27" s="40" t="s">
        <v>139</v>
      </c>
      <c r="L27" s="39" t="n">
        <v>1</v>
      </c>
      <c r="M27" s="37" t="s">
        <v>226</v>
      </c>
      <c r="N27" s="37" t="s">
        <v>141</v>
      </c>
      <c r="O27" s="26" t="n">
        <f aca="false">IF(H27="不适用",0,L27)</f>
        <v>1</v>
      </c>
      <c r="P27" s="26" t="n">
        <f aca="false">IF(H27="是",L27,0)</f>
        <v>0</v>
      </c>
    </row>
    <row r="28" customFormat="false" ht="42" hidden="false" customHeight="true" outlineLevel="0" collapsed="false">
      <c r="A28" s="36" t="n">
        <v>23</v>
      </c>
      <c r="B28" s="37" t="s">
        <v>175</v>
      </c>
      <c r="C28" s="38" t="s">
        <v>227</v>
      </c>
      <c r="D28" s="39" t="s">
        <v>152</v>
      </c>
      <c r="E28" s="38" t="s">
        <v>228</v>
      </c>
      <c r="F28" s="37" t="s">
        <v>229</v>
      </c>
      <c r="G28" s="38" t="s">
        <v>230</v>
      </c>
      <c r="H28" s="31"/>
      <c r="I28" s="32"/>
      <c r="J28" s="32"/>
      <c r="K28" s="42" t="s">
        <v>231</v>
      </c>
      <c r="L28" s="43" t="n">
        <v>3</v>
      </c>
      <c r="M28" s="37" t="s">
        <v>232</v>
      </c>
      <c r="N28" s="37" t="s">
        <v>233</v>
      </c>
      <c r="O28" s="26" t="n">
        <f aca="false">IF(H28="不适用",0,L28)</f>
        <v>3</v>
      </c>
      <c r="P28" s="26" t="n">
        <f aca="false">IF(H28="是",L28,0)</f>
        <v>0</v>
      </c>
    </row>
    <row r="29" customFormat="false" ht="42" hidden="false" customHeight="true" outlineLevel="0" collapsed="false">
      <c r="A29" s="36" t="n">
        <v>24</v>
      </c>
      <c r="B29" s="37" t="s">
        <v>175</v>
      </c>
      <c r="C29" s="38" t="s">
        <v>210</v>
      </c>
      <c r="D29" s="39" t="s">
        <v>152</v>
      </c>
      <c r="E29" s="38" t="s">
        <v>234</v>
      </c>
      <c r="F29" s="37" t="s">
        <v>235</v>
      </c>
      <c r="G29" s="37" t="s">
        <v>236</v>
      </c>
      <c r="H29" s="31"/>
      <c r="I29" s="32"/>
      <c r="J29" s="32"/>
      <c r="K29" s="40" t="s">
        <v>139</v>
      </c>
      <c r="L29" s="39" t="n">
        <v>1</v>
      </c>
      <c r="M29" s="37" t="s">
        <v>237</v>
      </c>
      <c r="N29" s="37" t="s">
        <v>141</v>
      </c>
      <c r="O29" s="26" t="n">
        <f aca="false">IF(H29="不适用",0,L29)</f>
        <v>1</v>
      </c>
      <c r="P29" s="26" t="n">
        <f aca="false">IF(H29="是",L29,0)</f>
        <v>0</v>
      </c>
    </row>
    <row r="30" customFormat="false" ht="42" hidden="false" customHeight="true" outlineLevel="0" collapsed="false">
      <c r="A30" s="36" t="n">
        <v>25</v>
      </c>
      <c r="B30" s="37" t="s">
        <v>175</v>
      </c>
      <c r="C30" s="38" t="s">
        <v>210</v>
      </c>
      <c r="D30" s="39" t="s">
        <v>152</v>
      </c>
      <c r="E30" s="38" t="s">
        <v>238</v>
      </c>
      <c r="F30" s="37" t="s">
        <v>239</v>
      </c>
      <c r="G30" s="37" t="s">
        <v>240</v>
      </c>
      <c r="H30" s="31"/>
      <c r="I30" s="32"/>
      <c r="J30" s="32"/>
      <c r="K30" s="40" t="s">
        <v>139</v>
      </c>
      <c r="L30" s="39" t="n">
        <v>1</v>
      </c>
      <c r="M30" s="37" t="s">
        <v>237</v>
      </c>
      <c r="N30" s="37" t="s">
        <v>141</v>
      </c>
      <c r="O30" s="26" t="n">
        <f aca="false">IF(H30="不适用",0,L30)</f>
        <v>1</v>
      </c>
      <c r="P30" s="26" t="n">
        <f aca="false">IF(H30="是",L30,0)</f>
        <v>0</v>
      </c>
    </row>
    <row r="31" customFormat="false" ht="42" hidden="false" customHeight="true" outlineLevel="0" collapsed="false">
      <c r="A31" s="36" t="n">
        <v>26</v>
      </c>
      <c r="B31" s="37" t="s">
        <v>175</v>
      </c>
      <c r="C31" s="38" t="s">
        <v>210</v>
      </c>
      <c r="D31" s="39" t="s">
        <v>152</v>
      </c>
      <c r="E31" s="38" t="s">
        <v>241</v>
      </c>
      <c r="F31" s="37" t="s">
        <v>242</v>
      </c>
      <c r="G31" s="37" t="s">
        <v>243</v>
      </c>
      <c r="H31" s="31"/>
      <c r="I31" s="32"/>
      <c r="J31" s="32"/>
      <c r="K31" s="40" t="s">
        <v>139</v>
      </c>
      <c r="L31" s="39" t="n">
        <v>1</v>
      </c>
      <c r="M31" s="37" t="s">
        <v>237</v>
      </c>
      <c r="N31" s="37" t="s">
        <v>141</v>
      </c>
      <c r="O31" s="26" t="n">
        <f aca="false">IF(H31="不适用",0,L31)</f>
        <v>1</v>
      </c>
      <c r="P31" s="26" t="n">
        <f aca="false">IF(H31="是",L31,0)</f>
        <v>0</v>
      </c>
    </row>
    <row r="32" customFormat="false" ht="42" hidden="false" customHeight="true" outlineLevel="0" collapsed="false">
      <c r="A32" s="36" t="n">
        <v>27</v>
      </c>
      <c r="B32" s="37" t="s">
        <v>175</v>
      </c>
      <c r="C32" s="38" t="s">
        <v>244</v>
      </c>
      <c r="D32" s="39" t="s">
        <v>152</v>
      </c>
      <c r="E32" s="38" t="s">
        <v>245</v>
      </c>
      <c r="F32" s="37" t="s">
        <v>246</v>
      </c>
      <c r="G32" s="37" t="s">
        <v>247</v>
      </c>
      <c r="H32" s="31"/>
      <c r="I32" s="32"/>
      <c r="J32" s="32"/>
      <c r="K32" s="41" t="s">
        <v>123</v>
      </c>
      <c r="L32" s="39" t="n">
        <v>1</v>
      </c>
      <c r="M32" s="37" t="s">
        <v>248</v>
      </c>
      <c r="N32" s="37" t="s">
        <v>249</v>
      </c>
      <c r="O32" s="26" t="n">
        <f aca="false">IF(H32="不适用",0,L32)</f>
        <v>1</v>
      </c>
      <c r="P32" s="26" t="n">
        <f aca="false">IF(H32="是",L32,0)</f>
        <v>0</v>
      </c>
    </row>
    <row r="33" customFormat="false" ht="42" hidden="false" customHeight="true" outlineLevel="0" collapsed="false">
      <c r="A33" s="36" t="n">
        <v>28</v>
      </c>
      <c r="B33" s="37" t="s">
        <v>175</v>
      </c>
      <c r="C33" s="38" t="s">
        <v>244</v>
      </c>
      <c r="D33" s="39" t="s">
        <v>135</v>
      </c>
      <c r="E33" s="38" t="s">
        <v>250</v>
      </c>
      <c r="F33" s="37" t="s">
        <v>251</v>
      </c>
      <c r="G33" s="37" t="s">
        <v>252</v>
      </c>
      <c r="H33" s="31"/>
      <c r="I33" s="32"/>
      <c r="J33" s="32"/>
      <c r="K33" s="36" t="s">
        <v>156</v>
      </c>
      <c r="L33" s="39" t="n">
        <v>1</v>
      </c>
      <c r="M33" s="37" t="s">
        <v>253</v>
      </c>
      <c r="N33" s="37" t="s">
        <v>254</v>
      </c>
      <c r="O33" s="26" t="n">
        <f aca="false">IF(H33="不适用",0,L33)</f>
        <v>1</v>
      </c>
      <c r="P33" s="26" t="n">
        <f aca="false">IF(H33="是",L33,0)</f>
        <v>0</v>
      </c>
    </row>
    <row r="34" customFormat="false" ht="42" hidden="false" customHeight="true" outlineLevel="0" collapsed="false">
      <c r="A34" s="36" t="n">
        <v>29</v>
      </c>
      <c r="B34" s="37" t="s">
        <v>175</v>
      </c>
      <c r="C34" s="38" t="s">
        <v>255</v>
      </c>
      <c r="D34" s="39" t="s">
        <v>152</v>
      </c>
      <c r="E34" s="38" t="s">
        <v>256</v>
      </c>
      <c r="F34" s="37" t="s">
        <v>257</v>
      </c>
      <c r="G34" s="37" t="s">
        <v>258</v>
      </c>
      <c r="H34" s="31"/>
      <c r="I34" s="32"/>
      <c r="J34" s="32"/>
      <c r="K34" s="40" t="s">
        <v>139</v>
      </c>
      <c r="L34" s="39" t="n">
        <v>1</v>
      </c>
      <c r="M34" s="37" t="s">
        <v>259</v>
      </c>
      <c r="N34" s="37" t="s">
        <v>260</v>
      </c>
      <c r="O34" s="26" t="n">
        <f aca="false">IF(H34="不适用",0,L34)</f>
        <v>1</v>
      </c>
      <c r="P34" s="26" t="n">
        <f aca="false">IF(H34="是",L34,0)</f>
        <v>0</v>
      </c>
    </row>
    <row r="35" customFormat="false" ht="42" hidden="false" customHeight="true" outlineLevel="0" collapsed="false">
      <c r="A35" s="36" t="n">
        <v>30</v>
      </c>
      <c r="B35" s="37" t="s">
        <v>175</v>
      </c>
      <c r="C35" s="38" t="s">
        <v>255</v>
      </c>
      <c r="D35" s="39" t="s">
        <v>152</v>
      </c>
      <c r="E35" s="38" t="s">
        <v>261</v>
      </c>
      <c r="F35" s="37" t="s">
        <v>262</v>
      </c>
      <c r="G35" s="37" t="s">
        <v>263</v>
      </c>
      <c r="H35" s="31"/>
      <c r="I35" s="32"/>
      <c r="J35" s="32"/>
      <c r="K35" s="40" t="s">
        <v>139</v>
      </c>
      <c r="L35" s="39" t="n">
        <v>1</v>
      </c>
      <c r="M35" s="37" t="s">
        <v>259</v>
      </c>
      <c r="N35" s="37" t="s">
        <v>260</v>
      </c>
      <c r="O35" s="26" t="n">
        <f aca="false">IF(H35="不适用",0,L35)</f>
        <v>1</v>
      </c>
      <c r="P35" s="26" t="n">
        <f aca="false">IF(H35="是",L35,0)</f>
        <v>0</v>
      </c>
    </row>
    <row r="36" customFormat="false" ht="42" hidden="false" customHeight="true" outlineLevel="0" collapsed="false">
      <c r="A36" s="36" t="n">
        <v>31</v>
      </c>
      <c r="B36" s="37" t="s">
        <v>175</v>
      </c>
      <c r="C36" s="38" t="s">
        <v>255</v>
      </c>
      <c r="D36" s="39" t="s">
        <v>152</v>
      </c>
      <c r="E36" s="38" t="s">
        <v>264</v>
      </c>
      <c r="F36" s="37" t="s">
        <v>265</v>
      </c>
      <c r="G36" s="37" t="s">
        <v>266</v>
      </c>
      <c r="H36" s="31"/>
      <c r="I36" s="32"/>
      <c r="J36" s="32"/>
      <c r="K36" s="40" t="s">
        <v>139</v>
      </c>
      <c r="L36" s="39" t="n">
        <v>1</v>
      </c>
      <c r="M36" s="37" t="s">
        <v>259</v>
      </c>
      <c r="N36" s="37" t="s">
        <v>260</v>
      </c>
      <c r="O36" s="26" t="n">
        <f aca="false">IF(H36="不适用",0,L36)</f>
        <v>1</v>
      </c>
      <c r="P36" s="26" t="n">
        <f aca="false">IF(H36="是",L36,0)</f>
        <v>0</v>
      </c>
    </row>
    <row r="37" customFormat="false" ht="42" hidden="false" customHeight="true" outlineLevel="0" collapsed="false">
      <c r="A37" s="36" t="n">
        <v>32</v>
      </c>
      <c r="B37" s="37" t="s">
        <v>175</v>
      </c>
      <c r="C37" s="38" t="s">
        <v>255</v>
      </c>
      <c r="D37" s="39" t="s">
        <v>152</v>
      </c>
      <c r="E37" s="38" t="s">
        <v>267</v>
      </c>
      <c r="F37" s="37" t="s">
        <v>268</v>
      </c>
      <c r="G37" s="37" t="s">
        <v>269</v>
      </c>
      <c r="H37" s="31"/>
      <c r="I37" s="32"/>
      <c r="J37" s="32"/>
      <c r="K37" s="40" t="s">
        <v>139</v>
      </c>
      <c r="L37" s="39" t="n">
        <v>1</v>
      </c>
      <c r="M37" s="37" t="s">
        <v>259</v>
      </c>
      <c r="N37" s="37" t="s">
        <v>260</v>
      </c>
      <c r="O37" s="26" t="n">
        <f aca="false">IF(H37="不适用",0,L37)</f>
        <v>1</v>
      </c>
      <c r="P37" s="26" t="n">
        <f aca="false">IF(H37="是",L37,0)</f>
        <v>0</v>
      </c>
    </row>
    <row r="38" customFormat="false" ht="42" hidden="false" customHeight="true" outlineLevel="0" collapsed="false">
      <c r="A38" s="36" t="n">
        <v>33</v>
      </c>
      <c r="B38" s="37" t="s">
        <v>175</v>
      </c>
      <c r="C38" s="38" t="s">
        <v>255</v>
      </c>
      <c r="D38" s="39" t="s">
        <v>152</v>
      </c>
      <c r="E38" s="38" t="s">
        <v>270</v>
      </c>
      <c r="F38" s="37" t="s">
        <v>271</v>
      </c>
      <c r="G38" s="37" t="s">
        <v>272</v>
      </c>
      <c r="H38" s="31"/>
      <c r="I38" s="32"/>
      <c r="J38" s="32"/>
      <c r="K38" s="40" t="s">
        <v>139</v>
      </c>
      <c r="L38" s="39" t="n">
        <v>1</v>
      </c>
      <c r="M38" s="37" t="s">
        <v>259</v>
      </c>
      <c r="N38" s="37" t="s">
        <v>260</v>
      </c>
      <c r="O38" s="26" t="n">
        <f aca="false">IF(H38="不适用",0,L38)</f>
        <v>1</v>
      </c>
      <c r="P38" s="26" t="n">
        <f aca="false">IF(H38="是",L38,0)</f>
        <v>0</v>
      </c>
    </row>
    <row r="39" customFormat="false" ht="42" hidden="false" customHeight="true" outlineLevel="0" collapsed="false">
      <c r="A39" s="36" t="n">
        <v>34</v>
      </c>
      <c r="B39" s="37" t="s">
        <v>175</v>
      </c>
      <c r="C39" s="38" t="s">
        <v>255</v>
      </c>
      <c r="D39" s="39" t="s">
        <v>152</v>
      </c>
      <c r="E39" s="38" t="s">
        <v>273</v>
      </c>
      <c r="F39" s="37" t="s">
        <v>274</v>
      </c>
      <c r="G39" s="37" t="s">
        <v>275</v>
      </c>
      <c r="H39" s="31"/>
      <c r="I39" s="32"/>
      <c r="J39" s="32"/>
      <c r="K39" s="40" t="s">
        <v>139</v>
      </c>
      <c r="L39" s="39" t="n">
        <v>1</v>
      </c>
      <c r="M39" s="37" t="s">
        <v>259</v>
      </c>
      <c r="N39" s="37" t="s">
        <v>260</v>
      </c>
      <c r="O39" s="26" t="n">
        <f aca="false">IF(H39="不适用",0,L39)</f>
        <v>1</v>
      </c>
      <c r="P39" s="26" t="n">
        <f aca="false">IF(H39="是",L39,0)</f>
        <v>0</v>
      </c>
    </row>
    <row r="40" customFormat="false" ht="42" hidden="false" customHeight="true" outlineLevel="0" collapsed="false">
      <c r="A40" s="36" t="n">
        <v>35</v>
      </c>
      <c r="B40" s="37" t="s">
        <v>175</v>
      </c>
      <c r="C40" s="38" t="s">
        <v>255</v>
      </c>
      <c r="D40" s="39" t="s">
        <v>152</v>
      </c>
      <c r="E40" s="38" t="s">
        <v>276</v>
      </c>
      <c r="F40" s="37" t="s">
        <v>277</v>
      </c>
      <c r="G40" s="37" t="s">
        <v>278</v>
      </c>
      <c r="H40" s="31"/>
      <c r="I40" s="32"/>
      <c r="J40" s="32"/>
      <c r="K40" s="40" t="s">
        <v>139</v>
      </c>
      <c r="L40" s="39" t="n">
        <v>1</v>
      </c>
      <c r="M40" s="37" t="s">
        <v>259</v>
      </c>
      <c r="N40" s="37" t="s">
        <v>260</v>
      </c>
      <c r="O40" s="26" t="n">
        <f aca="false">IF(H40="不适用",0,L40)</f>
        <v>1</v>
      </c>
      <c r="P40" s="26" t="n">
        <f aca="false">IF(H40="是",L40,0)</f>
        <v>0</v>
      </c>
    </row>
    <row r="41" customFormat="false" ht="42" hidden="false" customHeight="true" outlineLevel="0" collapsed="false">
      <c r="A41" s="36" t="n">
        <v>36</v>
      </c>
      <c r="B41" s="37" t="s">
        <v>175</v>
      </c>
      <c r="C41" s="38" t="s">
        <v>255</v>
      </c>
      <c r="D41" s="39" t="s">
        <v>152</v>
      </c>
      <c r="E41" s="38" t="s">
        <v>279</v>
      </c>
      <c r="F41" s="37" t="s">
        <v>280</v>
      </c>
      <c r="G41" s="37" t="s">
        <v>281</v>
      </c>
      <c r="H41" s="31"/>
      <c r="I41" s="32"/>
      <c r="J41" s="32"/>
      <c r="K41" s="40" t="s">
        <v>139</v>
      </c>
      <c r="L41" s="39" t="n">
        <v>1</v>
      </c>
      <c r="M41" s="37" t="s">
        <v>259</v>
      </c>
      <c r="N41" s="37" t="s">
        <v>260</v>
      </c>
      <c r="O41" s="26" t="n">
        <f aca="false">IF(H41="不适用",0,L41)</f>
        <v>1</v>
      </c>
      <c r="P41" s="26" t="n">
        <f aca="false">IF(H41="是",L41,0)</f>
        <v>0</v>
      </c>
    </row>
    <row r="42" customFormat="false" ht="42" hidden="false" customHeight="true" outlineLevel="0" collapsed="false">
      <c r="A42" s="36" t="n">
        <v>37</v>
      </c>
      <c r="B42" s="37" t="s">
        <v>175</v>
      </c>
      <c r="C42" s="38" t="s">
        <v>255</v>
      </c>
      <c r="D42" s="39" t="s">
        <v>152</v>
      </c>
      <c r="E42" s="38" t="s">
        <v>282</v>
      </c>
      <c r="F42" s="37" t="s">
        <v>283</v>
      </c>
      <c r="G42" s="37" t="s">
        <v>284</v>
      </c>
      <c r="H42" s="31"/>
      <c r="I42" s="32"/>
      <c r="J42" s="32"/>
      <c r="K42" s="40" t="s">
        <v>139</v>
      </c>
      <c r="L42" s="39" t="n">
        <v>1</v>
      </c>
      <c r="M42" s="37" t="s">
        <v>259</v>
      </c>
      <c r="N42" s="37" t="s">
        <v>260</v>
      </c>
      <c r="O42" s="26" t="n">
        <f aca="false">IF(H42="不适用",0,L42)</f>
        <v>1</v>
      </c>
      <c r="P42" s="26" t="n">
        <f aca="false">IF(H42="是",L42,0)</f>
        <v>0</v>
      </c>
    </row>
    <row r="43" customFormat="false" ht="42" hidden="false" customHeight="true" outlineLevel="0" collapsed="false">
      <c r="A43" s="36" t="n">
        <v>38</v>
      </c>
      <c r="B43" s="37" t="s">
        <v>175</v>
      </c>
      <c r="C43" s="38" t="s">
        <v>285</v>
      </c>
      <c r="D43" s="39" t="s">
        <v>152</v>
      </c>
      <c r="E43" s="38" t="s">
        <v>286</v>
      </c>
      <c r="F43" s="37" t="s">
        <v>287</v>
      </c>
      <c r="G43" s="37" t="s">
        <v>288</v>
      </c>
      <c r="H43" s="31"/>
      <c r="I43" s="32"/>
      <c r="J43" s="32"/>
      <c r="K43" s="40" t="s">
        <v>139</v>
      </c>
      <c r="L43" s="39" t="n">
        <v>1</v>
      </c>
      <c r="M43" s="37" t="s">
        <v>289</v>
      </c>
      <c r="N43" s="37" t="s">
        <v>141</v>
      </c>
      <c r="O43" s="26" t="n">
        <f aca="false">IF(H43="不适用",0,L43)</f>
        <v>1</v>
      </c>
      <c r="P43" s="26" t="n">
        <f aca="false">IF(H43="是",L43,0)</f>
        <v>0</v>
      </c>
    </row>
    <row r="44" customFormat="false" ht="42" hidden="false" customHeight="true" outlineLevel="0" collapsed="false">
      <c r="A44" s="36" t="n">
        <v>39</v>
      </c>
      <c r="B44" s="37" t="s">
        <v>175</v>
      </c>
      <c r="C44" s="38" t="s">
        <v>285</v>
      </c>
      <c r="D44" s="39" t="s">
        <v>152</v>
      </c>
      <c r="E44" s="38" t="s">
        <v>290</v>
      </c>
      <c r="F44" s="37" t="s">
        <v>291</v>
      </c>
      <c r="G44" s="37" t="s">
        <v>292</v>
      </c>
      <c r="H44" s="31"/>
      <c r="I44" s="32"/>
      <c r="J44" s="32"/>
      <c r="K44" s="40" t="s">
        <v>139</v>
      </c>
      <c r="L44" s="39" t="n">
        <v>1</v>
      </c>
      <c r="M44" s="37" t="s">
        <v>289</v>
      </c>
      <c r="N44" s="37" t="s">
        <v>141</v>
      </c>
      <c r="O44" s="26" t="n">
        <f aca="false">IF(H44="不适用",0,L44)</f>
        <v>1</v>
      </c>
      <c r="P44" s="26" t="n">
        <f aca="false">IF(H44="是",L44,0)</f>
        <v>0</v>
      </c>
    </row>
    <row r="45" customFormat="false" ht="42" hidden="false" customHeight="true" outlineLevel="0" collapsed="false">
      <c r="A45" s="36" t="n">
        <v>40</v>
      </c>
      <c r="B45" s="37" t="s">
        <v>175</v>
      </c>
      <c r="C45" s="38" t="s">
        <v>285</v>
      </c>
      <c r="D45" s="39" t="s">
        <v>152</v>
      </c>
      <c r="E45" s="38" t="s">
        <v>293</v>
      </c>
      <c r="F45" s="37" t="s">
        <v>294</v>
      </c>
      <c r="G45" s="38"/>
      <c r="H45" s="31"/>
      <c r="I45" s="32"/>
      <c r="J45" s="32"/>
      <c r="K45" s="40" t="s">
        <v>139</v>
      </c>
      <c r="L45" s="39" t="n">
        <v>1</v>
      </c>
      <c r="M45" s="37" t="s">
        <v>289</v>
      </c>
      <c r="N45" s="37" t="s">
        <v>141</v>
      </c>
      <c r="O45" s="26" t="n">
        <f aca="false">IF(H45="不适用",0,L45)</f>
        <v>1</v>
      </c>
      <c r="P45" s="26" t="n">
        <f aca="false">IF(H45="是",L45,0)</f>
        <v>0</v>
      </c>
    </row>
    <row r="46" customFormat="false" ht="42" hidden="false" customHeight="true" outlineLevel="0" collapsed="false">
      <c r="A46" s="36" t="n">
        <v>41</v>
      </c>
      <c r="B46" s="37" t="s">
        <v>175</v>
      </c>
      <c r="C46" s="38" t="s">
        <v>285</v>
      </c>
      <c r="D46" s="39" t="s">
        <v>152</v>
      </c>
      <c r="E46" s="38" t="s">
        <v>295</v>
      </c>
      <c r="F46" s="37" t="s">
        <v>296</v>
      </c>
      <c r="G46" s="38"/>
      <c r="H46" s="31"/>
      <c r="I46" s="32"/>
      <c r="J46" s="32"/>
      <c r="K46" s="40" t="s">
        <v>139</v>
      </c>
      <c r="L46" s="39" t="n">
        <v>1</v>
      </c>
      <c r="M46" s="37" t="s">
        <v>289</v>
      </c>
      <c r="N46" s="37" t="s">
        <v>141</v>
      </c>
      <c r="O46" s="26" t="n">
        <f aca="false">IF(H46="不适用",0,L46)</f>
        <v>1</v>
      </c>
      <c r="P46" s="26" t="n">
        <f aca="false">IF(H46="是",L46,0)</f>
        <v>0</v>
      </c>
    </row>
    <row r="47" customFormat="false" ht="42" hidden="false" customHeight="true" outlineLevel="0" collapsed="false">
      <c r="A47" s="36" t="n">
        <v>42</v>
      </c>
      <c r="B47" s="37" t="s">
        <v>175</v>
      </c>
      <c r="C47" s="38" t="s">
        <v>285</v>
      </c>
      <c r="D47" s="39" t="s">
        <v>152</v>
      </c>
      <c r="E47" s="38" t="s">
        <v>297</v>
      </c>
      <c r="F47" s="37" t="s">
        <v>298</v>
      </c>
      <c r="G47" s="37" t="s">
        <v>299</v>
      </c>
      <c r="H47" s="31"/>
      <c r="I47" s="32"/>
      <c r="J47" s="32"/>
      <c r="K47" s="40" t="s">
        <v>139</v>
      </c>
      <c r="L47" s="39" t="n">
        <v>1</v>
      </c>
      <c r="M47" s="37" t="s">
        <v>289</v>
      </c>
      <c r="N47" s="37" t="s">
        <v>141</v>
      </c>
      <c r="O47" s="26" t="n">
        <f aca="false">IF(H47="不适用",0,L47)</f>
        <v>1</v>
      </c>
      <c r="P47" s="26" t="n">
        <f aca="false">IF(H47="是",L47,0)</f>
        <v>0</v>
      </c>
    </row>
    <row r="48" customFormat="false" ht="42" hidden="false" customHeight="true" outlineLevel="0" collapsed="false">
      <c r="A48" s="36" t="n">
        <v>43</v>
      </c>
      <c r="B48" s="37" t="s">
        <v>175</v>
      </c>
      <c r="C48" s="38" t="s">
        <v>300</v>
      </c>
      <c r="D48" s="39" t="s">
        <v>152</v>
      </c>
      <c r="E48" s="38" t="s">
        <v>301</v>
      </c>
      <c r="F48" s="37" t="s">
        <v>302</v>
      </c>
      <c r="G48" s="37" t="s">
        <v>303</v>
      </c>
      <c r="H48" s="31"/>
      <c r="I48" s="32"/>
      <c r="J48" s="32"/>
      <c r="K48" s="36" t="s">
        <v>156</v>
      </c>
      <c r="L48" s="39" t="n">
        <v>1</v>
      </c>
      <c r="M48" s="37" t="s">
        <v>304</v>
      </c>
      <c r="N48" s="37" t="s">
        <v>305</v>
      </c>
      <c r="O48" s="26" t="n">
        <f aca="false">IF(H48="不适用",0,L48)</f>
        <v>1</v>
      </c>
      <c r="P48" s="26" t="n">
        <f aca="false">IF(H48="是",L48,0)</f>
        <v>0</v>
      </c>
    </row>
    <row r="49" customFormat="false" ht="42" hidden="false" customHeight="true" outlineLevel="0" collapsed="false">
      <c r="A49" s="36" t="n">
        <v>44</v>
      </c>
      <c r="B49" s="37" t="s">
        <v>175</v>
      </c>
      <c r="C49" s="38" t="s">
        <v>300</v>
      </c>
      <c r="D49" s="39" t="s">
        <v>152</v>
      </c>
      <c r="E49" s="38" t="s">
        <v>306</v>
      </c>
      <c r="F49" s="37" t="s">
        <v>307</v>
      </c>
      <c r="G49" s="37" t="s">
        <v>308</v>
      </c>
      <c r="H49" s="31"/>
      <c r="I49" s="32"/>
      <c r="J49" s="32"/>
      <c r="K49" s="36" t="s">
        <v>156</v>
      </c>
      <c r="L49" s="39" t="n">
        <v>1</v>
      </c>
      <c r="M49" s="37" t="s">
        <v>309</v>
      </c>
      <c r="N49" s="37" t="s">
        <v>310</v>
      </c>
      <c r="O49" s="26" t="n">
        <f aca="false">IF(H49="不适用",0,L49)</f>
        <v>1</v>
      </c>
      <c r="P49" s="26" t="n">
        <f aca="false">IF(H49="是",L49,0)</f>
        <v>0</v>
      </c>
    </row>
    <row r="50" customFormat="false" ht="42" hidden="false" customHeight="true" outlineLevel="0" collapsed="false">
      <c r="A50" s="36" t="n">
        <v>45</v>
      </c>
      <c r="B50" s="37" t="s">
        <v>175</v>
      </c>
      <c r="C50" s="38" t="s">
        <v>311</v>
      </c>
      <c r="D50" s="39" t="s">
        <v>152</v>
      </c>
      <c r="E50" s="38" t="s">
        <v>312</v>
      </c>
      <c r="F50" s="37" t="s">
        <v>313</v>
      </c>
      <c r="G50" s="38"/>
      <c r="H50" s="31"/>
      <c r="I50" s="32"/>
      <c r="J50" s="32"/>
      <c r="K50" s="40" t="s">
        <v>139</v>
      </c>
      <c r="L50" s="39" t="n">
        <v>1</v>
      </c>
      <c r="M50" s="37" t="s">
        <v>314</v>
      </c>
      <c r="N50" s="37" t="s">
        <v>141</v>
      </c>
      <c r="O50" s="26" t="n">
        <f aca="false">IF(H50="不适用",0,L50)</f>
        <v>1</v>
      </c>
      <c r="P50" s="26" t="n">
        <f aca="false">IF(H50="是",L50,0)</f>
        <v>0</v>
      </c>
    </row>
    <row r="51" customFormat="false" ht="42" hidden="false" customHeight="true" outlineLevel="0" collapsed="false">
      <c r="A51" s="36" t="n">
        <v>46</v>
      </c>
      <c r="B51" s="37" t="s">
        <v>175</v>
      </c>
      <c r="C51" s="38" t="s">
        <v>311</v>
      </c>
      <c r="D51" s="39" t="s">
        <v>152</v>
      </c>
      <c r="E51" s="38" t="s">
        <v>315</v>
      </c>
      <c r="F51" s="37" t="s">
        <v>316</v>
      </c>
      <c r="G51" s="38"/>
      <c r="H51" s="31"/>
      <c r="I51" s="32"/>
      <c r="J51" s="32"/>
      <c r="K51" s="40" t="s">
        <v>139</v>
      </c>
      <c r="L51" s="39" t="n">
        <v>1</v>
      </c>
      <c r="M51" s="37" t="s">
        <v>314</v>
      </c>
      <c r="N51" s="37" t="s">
        <v>141</v>
      </c>
      <c r="O51" s="26" t="n">
        <f aca="false">IF(H51="不适用",0,L51)</f>
        <v>1</v>
      </c>
      <c r="P51" s="26" t="n">
        <f aca="false">IF(H51="是",L51,0)</f>
        <v>0</v>
      </c>
    </row>
    <row r="52" customFormat="false" ht="42" hidden="false" customHeight="true" outlineLevel="0" collapsed="false">
      <c r="A52" s="27" t="n">
        <v>47</v>
      </c>
      <c r="B52" s="28" t="s">
        <v>317</v>
      </c>
      <c r="C52" s="29" t="s">
        <v>205</v>
      </c>
      <c r="D52" s="30" t="s">
        <v>152</v>
      </c>
      <c r="E52" s="29" t="s">
        <v>318</v>
      </c>
      <c r="F52" s="28" t="s">
        <v>319</v>
      </c>
      <c r="G52" s="28" t="s">
        <v>208</v>
      </c>
      <c r="H52" s="31"/>
      <c r="I52" s="32"/>
      <c r="J52" s="32"/>
      <c r="K52" s="34" t="s">
        <v>139</v>
      </c>
      <c r="L52" s="30" t="n">
        <v>1</v>
      </c>
      <c r="M52" s="28" t="s">
        <v>320</v>
      </c>
      <c r="N52" s="28" t="s">
        <v>141</v>
      </c>
      <c r="O52" s="26" t="n">
        <f aca="false">IF(H52="不适用",0,L52)</f>
        <v>1</v>
      </c>
      <c r="P52" s="26" t="n">
        <f aca="false">IF(H52="是",L52,0)</f>
        <v>0</v>
      </c>
    </row>
    <row r="53" customFormat="false" ht="42" hidden="false" customHeight="true" outlineLevel="0" collapsed="false">
      <c r="A53" s="27" t="n">
        <v>48</v>
      </c>
      <c r="B53" s="28" t="s">
        <v>317</v>
      </c>
      <c r="C53" s="29" t="s">
        <v>321</v>
      </c>
      <c r="D53" s="30" t="s">
        <v>152</v>
      </c>
      <c r="E53" s="29" t="s">
        <v>322</v>
      </c>
      <c r="F53" s="28" t="s">
        <v>323</v>
      </c>
      <c r="G53" s="28" t="s">
        <v>208</v>
      </c>
      <c r="H53" s="31"/>
      <c r="I53" s="32"/>
      <c r="J53" s="32"/>
      <c r="K53" s="34" t="s">
        <v>139</v>
      </c>
      <c r="L53" s="30" t="n">
        <v>1</v>
      </c>
      <c r="M53" s="28" t="s">
        <v>320</v>
      </c>
      <c r="N53" s="28" t="s">
        <v>141</v>
      </c>
      <c r="O53" s="26" t="n">
        <f aca="false">IF(H53="不适用",0,L53)</f>
        <v>1</v>
      </c>
      <c r="P53" s="26" t="n">
        <f aca="false">IF(H53="是",L53,0)</f>
        <v>0</v>
      </c>
    </row>
    <row r="54" customFormat="false" ht="42" hidden="false" customHeight="true" outlineLevel="0" collapsed="false">
      <c r="A54" s="27" t="n">
        <v>49</v>
      </c>
      <c r="B54" s="28" t="s">
        <v>317</v>
      </c>
      <c r="C54" s="29" t="s">
        <v>324</v>
      </c>
      <c r="D54" s="30" t="s">
        <v>152</v>
      </c>
      <c r="E54" s="29" t="s">
        <v>325</v>
      </c>
      <c r="F54" s="28" t="s">
        <v>326</v>
      </c>
      <c r="G54" s="28" t="s">
        <v>327</v>
      </c>
      <c r="H54" s="31"/>
      <c r="I54" s="32"/>
      <c r="J54" s="32"/>
      <c r="K54" s="34" t="s">
        <v>139</v>
      </c>
      <c r="L54" s="30" t="n">
        <v>1</v>
      </c>
      <c r="M54" s="28" t="s">
        <v>320</v>
      </c>
      <c r="N54" s="28" t="s">
        <v>141</v>
      </c>
      <c r="O54" s="26" t="n">
        <f aca="false">IF(H54="不适用",0,L54)</f>
        <v>1</v>
      </c>
      <c r="P54" s="26" t="n">
        <f aca="false">IF(H54="是",L54,0)</f>
        <v>0</v>
      </c>
    </row>
    <row r="55" customFormat="false" ht="42" hidden="false" customHeight="true" outlineLevel="0" collapsed="false">
      <c r="A55" s="27" t="n">
        <v>50</v>
      </c>
      <c r="B55" s="28" t="s">
        <v>317</v>
      </c>
      <c r="C55" s="29" t="s">
        <v>328</v>
      </c>
      <c r="D55" s="30" t="s">
        <v>152</v>
      </c>
      <c r="E55" s="29" t="s">
        <v>329</v>
      </c>
      <c r="F55" s="28" t="s">
        <v>330</v>
      </c>
      <c r="G55" s="28" t="s">
        <v>331</v>
      </c>
      <c r="H55" s="31"/>
      <c r="I55" s="32"/>
      <c r="J55" s="32"/>
      <c r="K55" s="33" t="s">
        <v>123</v>
      </c>
      <c r="L55" s="30" t="n">
        <v>1</v>
      </c>
      <c r="M55" s="28" t="s">
        <v>332</v>
      </c>
      <c r="N55" s="28" t="s">
        <v>333</v>
      </c>
      <c r="O55" s="26" t="n">
        <f aca="false">IF(H55="不适用",0,L55)</f>
        <v>1</v>
      </c>
      <c r="P55" s="26" t="n">
        <f aca="false">IF(H55="是",L55,0)</f>
        <v>0</v>
      </c>
    </row>
    <row r="56" customFormat="false" ht="42" hidden="false" customHeight="true" outlineLevel="0" collapsed="false">
      <c r="A56" s="27" t="n">
        <v>51</v>
      </c>
      <c r="B56" s="28" t="s">
        <v>317</v>
      </c>
      <c r="C56" s="29" t="s">
        <v>324</v>
      </c>
      <c r="D56" s="30" t="s">
        <v>152</v>
      </c>
      <c r="E56" s="29" t="s">
        <v>334</v>
      </c>
      <c r="F56" s="28" t="s">
        <v>335</v>
      </c>
      <c r="G56" s="29"/>
      <c r="H56" s="31"/>
      <c r="I56" s="32"/>
      <c r="J56" s="32"/>
      <c r="K56" s="34" t="s">
        <v>139</v>
      </c>
      <c r="L56" s="30" t="n">
        <v>1</v>
      </c>
      <c r="M56" s="28" t="s">
        <v>336</v>
      </c>
      <c r="N56" s="28" t="s">
        <v>141</v>
      </c>
      <c r="O56" s="26" t="n">
        <f aca="false">IF(H56="不适用",0,L56)</f>
        <v>1</v>
      </c>
      <c r="P56" s="26" t="n">
        <f aca="false">IF(H56="是",L56,0)</f>
        <v>0</v>
      </c>
    </row>
    <row r="57" customFormat="false" ht="42" hidden="false" customHeight="true" outlineLevel="0" collapsed="false">
      <c r="A57" s="27" t="n">
        <v>52</v>
      </c>
      <c r="B57" s="28" t="s">
        <v>317</v>
      </c>
      <c r="C57" s="29" t="s">
        <v>324</v>
      </c>
      <c r="D57" s="30" t="s">
        <v>152</v>
      </c>
      <c r="E57" s="29" t="s">
        <v>337</v>
      </c>
      <c r="F57" s="28" t="s">
        <v>338</v>
      </c>
      <c r="G57" s="28" t="s">
        <v>339</v>
      </c>
      <c r="H57" s="31"/>
      <c r="I57" s="32"/>
      <c r="J57" s="32"/>
      <c r="K57" s="34" t="s">
        <v>139</v>
      </c>
      <c r="L57" s="30" t="n">
        <v>1</v>
      </c>
      <c r="M57" s="28" t="s">
        <v>336</v>
      </c>
      <c r="N57" s="28" t="s">
        <v>141</v>
      </c>
      <c r="O57" s="26" t="n">
        <f aca="false">IF(H57="不适用",0,L57)</f>
        <v>1</v>
      </c>
      <c r="P57" s="26" t="n">
        <f aca="false">IF(H57="是",L57,0)</f>
        <v>0</v>
      </c>
    </row>
    <row r="58" customFormat="false" ht="42" hidden="false" customHeight="true" outlineLevel="0" collapsed="false">
      <c r="A58" s="27" t="n">
        <v>53</v>
      </c>
      <c r="B58" s="28" t="s">
        <v>317</v>
      </c>
      <c r="C58" s="29" t="s">
        <v>324</v>
      </c>
      <c r="D58" s="30" t="s">
        <v>152</v>
      </c>
      <c r="E58" s="29" t="s">
        <v>340</v>
      </c>
      <c r="F58" s="28" t="s">
        <v>341</v>
      </c>
      <c r="G58" s="28" t="s">
        <v>342</v>
      </c>
      <c r="H58" s="31"/>
      <c r="I58" s="32"/>
      <c r="J58" s="32"/>
      <c r="K58" s="34" t="s">
        <v>139</v>
      </c>
      <c r="L58" s="30" t="n">
        <v>1</v>
      </c>
      <c r="M58" s="28" t="s">
        <v>336</v>
      </c>
      <c r="N58" s="28" t="s">
        <v>141</v>
      </c>
      <c r="O58" s="26" t="n">
        <f aca="false">IF(H58="不适用",0,L58)</f>
        <v>1</v>
      </c>
      <c r="P58" s="26" t="n">
        <f aca="false">IF(H58="是",L58,0)</f>
        <v>0</v>
      </c>
    </row>
    <row r="59" customFormat="false" ht="42" hidden="false" customHeight="true" outlineLevel="0" collapsed="false">
      <c r="A59" s="27" t="n">
        <v>54</v>
      </c>
      <c r="B59" s="28" t="s">
        <v>317</v>
      </c>
      <c r="C59" s="29" t="s">
        <v>324</v>
      </c>
      <c r="D59" s="30" t="s">
        <v>152</v>
      </c>
      <c r="E59" s="29" t="s">
        <v>343</v>
      </c>
      <c r="F59" s="28" t="s">
        <v>344</v>
      </c>
      <c r="G59" s="28" t="s">
        <v>345</v>
      </c>
      <c r="H59" s="31"/>
      <c r="I59" s="32"/>
      <c r="J59" s="32"/>
      <c r="K59" s="34" t="s">
        <v>139</v>
      </c>
      <c r="L59" s="30" t="n">
        <v>1</v>
      </c>
      <c r="M59" s="28" t="s">
        <v>336</v>
      </c>
      <c r="N59" s="28" t="s">
        <v>141</v>
      </c>
      <c r="O59" s="26" t="n">
        <f aca="false">IF(H59="不适用",0,L59)</f>
        <v>1</v>
      </c>
      <c r="P59" s="26" t="n">
        <f aca="false">IF(H59="是",L59,0)</f>
        <v>0</v>
      </c>
    </row>
    <row r="60" customFormat="false" ht="42" hidden="false" customHeight="true" outlineLevel="0" collapsed="false">
      <c r="A60" s="27" t="n">
        <v>55</v>
      </c>
      <c r="B60" s="28" t="s">
        <v>317</v>
      </c>
      <c r="C60" s="29" t="s">
        <v>346</v>
      </c>
      <c r="D60" s="30" t="s">
        <v>152</v>
      </c>
      <c r="E60" s="29" t="s">
        <v>347</v>
      </c>
      <c r="F60" s="28" t="s">
        <v>348</v>
      </c>
      <c r="G60" s="28" t="s">
        <v>349</v>
      </c>
      <c r="H60" s="31"/>
      <c r="I60" s="32"/>
      <c r="J60" s="32"/>
      <c r="K60" s="34" t="s">
        <v>139</v>
      </c>
      <c r="L60" s="30" t="n">
        <v>1</v>
      </c>
      <c r="M60" s="28" t="s">
        <v>336</v>
      </c>
      <c r="N60" s="28" t="s">
        <v>141</v>
      </c>
      <c r="O60" s="26" t="n">
        <f aca="false">IF(H60="不适用",0,L60)</f>
        <v>1</v>
      </c>
      <c r="P60" s="26" t="n">
        <f aca="false">IF(H60="是",L60,0)</f>
        <v>0</v>
      </c>
    </row>
    <row r="61" customFormat="false" ht="42" hidden="false" customHeight="true" outlineLevel="0" collapsed="false">
      <c r="A61" s="27" t="n">
        <v>56</v>
      </c>
      <c r="B61" s="28" t="s">
        <v>317</v>
      </c>
      <c r="C61" s="29" t="s">
        <v>346</v>
      </c>
      <c r="D61" s="30" t="s">
        <v>152</v>
      </c>
      <c r="E61" s="29" t="s">
        <v>350</v>
      </c>
      <c r="F61" s="28" t="s">
        <v>351</v>
      </c>
      <c r="G61" s="28" t="s">
        <v>352</v>
      </c>
      <c r="H61" s="31"/>
      <c r="I61" s="32"/>
      <c r="J61" s="32"/>
      <c r="K61" s="34" t="s">
        <v>139</v>
      </c>
      <c r="L61" s="30" t="n">
        <v>1</v>
      </c>
      <c r="M61" s="28" t="s">
        <v>336</v>
      </c>
      <c r="N61" s="28" t="s">
        <v>141</v>
      </c>
      <c r="O61" s="26" t="n">
        <f aca="false">IF(H61="不适用",0,L61)</f>
        <v>1</v>
      </c>
      <c r="P61" s="26" t="n">
        <f aca="false">IF(H61="是",L61,0)</f>
        <v>0</v>
      </c>
    </row>
    <row r="62" customFormat="false" ht="42" hidden="false" customHeight="true" outlineLevel="0" collapsed="false">
      <c r="A62" s="27" t="n">
        <v>57</v>
      </c>
      <c r="B62" s="28" t="s">
        <v>317</v>
      </c>
      <c r="C62" s="29" t="s">
        <v>353</v>
      </c>
      <c r="D62" s="30" t="s">
        <v>152</v>
      </c>
      <c r="E62" s="29" t="s">
        <v>354</v>
      </c>
      <c r="F62" s="28" t="s">
        <v>355</v>
      </c>
      <c r="G62" s="28" t="s">
        <v>356</v>
      </c>
      <c r="H62" s="31"/>
      <c r="I62" s="32"/>
      <c r="J62" s="32"/>
      <c r="K62" s="34" t="s">
        <v>139</v>
      </c>
      <c r="L62" s="30" t="n">
        <v>1</v>
      </c>
      <c r="M62" s="28" t="s">
        <v>357</v>
      </c>
      <c r="N62" s="28" t="s">
        <v>141</v>
      </c>
      <c r="O62" s="26" t="n">
        <f aca="false">IF(H62="不适用",0,L62)</f>
        <v>1</v>
      </c>
      <c r="P62" s="26" t="n">
        <f aca="false">IF(H62="是",L62,0)</f>
        <v>0</v>
      </c>
    </row>
    <row r="63" customFormat="false" ht="42" hidden="false" customHeight="true" outlineLevel="0" collapsed="false">
      <c r="A63" s="27" t="n">
        <v>58</v>
      </c>
      <c r="B63" s="28" t="s">
        <v>317</v>
      </c>
      <c r="C63" s="29" t="s">
        <v>353</v>
      </c>
      <c r="D63" s="30" t="s">
        <v>152</v>
      </c>
      <c r="E63" s="29" t="s">
        <v>358</v>
      </c>
      <c r="F63" s="28" t="s">
        <v>359</v>
      </c>
      <c r="G63" s="28" t="s">
        <v>360</v>
      </c>
      <c r="H63" s="31"/>
      <c r="I63" s="32"/>
      <c r="J63" s="32"/>
      <c r="K63" s="34" t="s">
        <v>139</v>
      </c>
      <c r="L63" s="30" t="n">
        <v>1</v>
      </c>
      <c r="M63" s="28" t="s">
        <v>357</v>
      </c>
      <c r="N63" s="28" t="s">
        <v>141</v>
      </c>
      <c r="O63" s="26" t="n">
        <f aca="false">IF(H63="不适用",0,L63)</f>
        <v>1</v>
      </c>
      <c r="P63" s="26" t="n">
        <f aca="false">IF(H63="是",L63,0)</f>
        <v>0</v>
      </c>
    </row>
    <row r="64" customFormat="false" ht="42" hidden="false" customHeight="true" outlineLevel="0" collapsed="false">
      <c r="A64" s="27" t="n">
        <v>59</v>
      </c>
      <c r="B64" s="28" t="s">
        <v>317</v>
      </c>
      <c r="C64" s="29" t="s">
        <v>353</v>
      </c>
      <c r="D64" s="30" t="s">
        <v>152</v>
      </c>
      <c r="E64" s="29" t="s">
        <v>361</v>
      </c>
      <c r="F64" s="28" t="s">
        <v>362</v>
      </c>
      <c r="G64" s="28" t="s">
        <v>363</v>
      </c>
      <c r="H64" s="31"/>
      <c r="I64" s="32"/>
      <c r="J64" s="32"/>
      <c r="K64" s="34" t="s">
        <v>139</v>
      </c>
      <c r="L64" s="30" t="n">
        <v>1</v>
      </c>
      <c r="M64" s="28" t="s">
        <v>357</v>
      </c>
      <c r="N64" s="28" t="s">
        <v>141</v>
      </c>
      <c r="O64" s="26" t="n">
        <f aca="false">IF(H64="不适用",0,L64)</f>
        <v>1</v>
      </c>
      <c r="P64" s="26" t="n">
        <f aca="false">IF(H64="是",L64,0)</f>
        <v>0</v>
      </c>
    </row>
    <row r="65" customFormat="false" ht="42" hidden="false" customHeight="true" outlineLevel="0" collapsed="false">
      <c r="A65" s="27" t="n">
        <v>60</v>
      </c>
      <c r="B65" s="28" t="s">
        <v>317</v>
      </c>
      <c r="C65" s="29" t="s">
        <v>353</v>
      </c>
      <c r="D65" s="30" t="s">
        <v>152</v>
      </c>
      <c r="E65" s="29" t="s">
        <v>358</v>
      </c>
      <c r="F65" s="28" t="s">
        <v>359</v>
      </c>
      <c r="G65" s="28" t="s">
        <v>360</v>
      </c>
      <c r="H65" s="31"/>
      <c r="I65" s="32"/>
      <c r="J65" s="32"/>
      <c r="K65" s="34" t="s">
        <v>139</v>
      </c>
      <c r="L65" s="30" t="n">
        <v>1</v>
      </c>
      <c r="M65" s="28" t="s">
        <v>357</v>
      </c>
      <c r="N65" s="28" t="s">
        <v>141</v>
      </c>
      <c r="O65" s="26" t="n">
        <f aca="false">IF(H65="不适用",0,L65)</f>
        <v>1</v>
      </c>
      <c r="P65" s="26" t="n">
        <f aca="false">IF(H65="是",L65,0)</f>
        <v>0</v>
      </c>
    </row>
    <row r="66" customFormat="false" ht="42" hidden="false" customHeight="true" outlineLevel="0" collapsed="false">
      <c r="A66" s="27" t="n">
        <v>61</v>
      </c>
      <c r="B66" s="28" t="s">
        <v>317</v>
      </c>
      <c r="C66" s="29" t="s">
        <v>364</v>
      </c>
      <c r="D66" s="30" t="s">
        <v>152</v>
      </c>
      <c r="E66" s="29" t="s">
        <v>365</v>
      </c>
      <c r="F66" s="28" t="s">
        <v>366</v>
      </c>
      <c r="G66" s="28" t="s">
        <v>367</v>
      </c>
      <c r="H66" s="31"/>
      <c r="I66" s="32"/>
      <c r="J66" s="32"/>
      <c r="K66" s="34" t="s">
        <v>139</v>
      </c>
      <c r="L66" s="30" t="n">
        <v>1</v>
      </c>
      <c r="M66" s="28" t="s">
        <v>368</v>
      </c>
      <c r="N66" s="28" t="s">
        <v>141</v>
      </c>
      <c r="O66" s="26" t="n">
        <f aca="false">IF(H66="不适用",0,L66)</f>
        <v>1</v>
      </c>
      <c r="P66" s="26" t="n">
        <f aca="false">IF(H66="是",L66,0)</f>
        <v>0</v>
      </c>
    </row>
    <row r="67" customFormat="false" ht="42" hidden="false" customHeight="true" outlineLevel="0" collapsed="false">
      <c r="A67" s="27" t="n">
        <v>62</v>
      </c>
      <c r="B67" s="28" t="s">
        <v>317</v>
      </c>
      <c r="C67" s="29" t="s">
        <v>364</v>
      </c>
      <c r="D67" s="30" t="s">
        <v>152</v>
      </c>
      <c r="E67" s="29" t="s">
        <v>369</v>
      </c>
      <c r="F67" s="28" t="s">
        <v>370</v>
      </c>
      <c r="G67" s="28" t="s">
        <v>371</v>
      </c>
      <c r="H67" s="31"/>
      <c r="I67" s="32"/>
      <c r="J67" s="32"/>
      <c r="K67" s="34" t="s">
        <v>139</v>
      </c>
      <c r="L67" s="30" t="n">
        <v>1</v>
      </c>
      <c r="M67" s="28" t="s">
        <v>368</v>
      </c>
      <c r="N67" s="28" t="s">
        <v>141</v>
      </c>
      <c r="O67" s="26" t="n">
        <f aca="false">IF(H67="不适用",0,L67)</f>
        <v>1</v>
      </c>
      <c r="P67" s="26" t="n">
        <f aca="false">IF(H67="是",L67,0)</f>
        <v>0</v>
      </c>
    </row>
    <row r="68" customFormat="false" ht="42" hidden="false" customHeight="true" outlineLevel="0" collapsed="false">
      <c r="A68" s="27" t="n">
        <v>63</v>
      </c>
      <c r="B68" s="28" t="s">
        <v>317</v>
      </c>
      <c r="C68" s="29" t="s">
        <v>364</v>
      </c>
      <c r="D68" s="30" t="s">
        <v>152</v>
      </c>
      <c r="E68" s="29" t="s">
        <v>372</v>
      </c>
      <c r="F68" s="28" t="s">
        <v>373</v>
      </c>
      <c r="G68" s="29"/>
      <c r="H68" s="31"/>
      <c r="I68" s="32"/>
      <c r="J68" s="32"/>
      <c r="K68" s="34" t="s">
        <v>139</v>
      </c>
      <c r="L68" s="30" t="n">
        <v>1</v>
      </c>
      <c r="M68" s="28" t="s">
        <v>368</v>
      </c>
      <c r="N68" s="28" t="s">
        <v>141</v>
      </c>
      <c r="O68" s="26" t="n">
        <f aca="false">IF(H68="不适用",0,L68)</f>
        <v>1</v>
      </c>
      <c r="P68" s="26" t="n">
        <f aca="false">IF(H68="是",L68,0)</f>
        <v>0</v>
      </c>
    </row>
    <row r="69" customFormat="false" ht="42" hidden="false" customHeight="true" outlineLevel="0" collapsed="false">
      <c r="A69" s="27" t="n">
        <v>64</v>
      </c>
      <c r="B69" s="28" t="s">
        <v>317</v>
      </c>
      <c r="C69" s="29" t="s">
        <v>364</v>
      </c>
      <c r="D69" s="30" t="s">
        <v>152</v>
      </c>
      <c r="E69" s="29" t="s">
        <v>374</v>
      </c>
      <c r="F69" s="28" t="s">
        <v>375</v>
      </c>
      <c r="G69" s="28" t="s">
        <v>376</v>
      </c>
      <c r="H69" s="31"/>
      <c r="I69" s="32"/>
      <c r="J69" s="32"/>
      <c r="K69" s="34" t="s">
        <v>139</v>
      </c>
      <c r="L69" s="30" t="n">
        <v>1</v>
      </c>
      <c r="M69" s="28" t="s">
        <v>368</v>
      </c>
      <c r="N69" s="28" t="s">
        <v>141</v>
      </c>
      <c r="O69" s="26" t="n">
        <f aca="false">IF(H69="不适用",0,L69)</f>
        <v>1</v>
      </c>
      <c r="P69" s="26" t="n">
        <f aca="false">IF(H69="是",L69,0)</f>
        <v>0</v>
      </c>
    </row>
    <row r="70" customFormat="false" ht="42" hidden="false" customHeight="true" outlineLevel="0" collapsed="false">
      <c r="A70" s="27" t="n">
        <v>65</v>
      </c>
      <c r="B70" s="28" t="s">
        <v>317</v>
      </c>
      <c r="C70" s="29" t="s">
        <v>377</v>
      </c>
      <c r="D70" s="30" t="s">
        <v>152</v>
      </c>
      <c r="E70" s="29" t="s">
        <v>378</v>
      </c>
      <c r="F70" s="28" t="s">
        <v>379</v>
      </c>
      <c r="G70" s="28" t="s">
        <v>380</v>
      </c>
      <c r="H70" s="31"/>
      <c r="I70" s="32"/>
      <c r="J70" s="32"/>
      <c r="K70" s="34" t="s">
        <v>139</v>
      </c>
      <c r="L70" s="30" t="n">
        <v>1</v>
      </c>
      <c r="M70" s="28" t="s">
        <v>381</v>
      </c>
      <c r="N70" s="28" t="s">
        <v>382</v>
      </c>
      <c r="O70" s="26" t="n">
        <f aca="false">IF(H70="不适用",0,L70)</f>
        <v>1</v>
      </c>
      <c r="P70" s="26" t="n">
        <f aca="false">IF(H70="是",L70,0)</f>
        <v>0</v>
      </c>
    </row>
    <row r="71" customFormat="false" ht="42" hidden="false" customHeight="true" outlineLevel="0" collapsed="false">
      <c r="A71" s="27" t="n">
        <v>66</v>
      </c>
      <c r="B71" s="28" t="s">
        <v>317</v>
      </c>
      <c r="C71" s="29" t="s">
        <v>377</v>
      </c>
      <c r="D71" s="30" t="s">
        <v>152</v>
      </c>
      <c r="E71" s="29" t="s">
        <v>383</v>
      </c>
      <c r="F71" s="28" t="s">
        <v>384</v>
      </c>
      <c r="G71" s="28" t="s">
        <v>385</v>
      </c>
      <c r="H71" s="31"/>
      <c r="I71" s="32"/>
      <c r="J71" s="32"/>
      <c r="K71" s="34" t="s">
        <v>139</v>
      </c>
      <c r="L71" s="30" t="n">
        <v>1</v>
      </c>
      <c r="M71" s="28" t="s">
        <v>381</v>
      </c>
      <c r="N71" s="28" t="s">
        <v>382</v>
      </c>
      <c r="O71" s="26" t="n">
        <f aca="false">IF(H71="不适用",0,L71)</f>
        <v>1</v>
      </c>
      <c r="P71" s="26" t="n">
        <f aca="false">IF(H71="是",L71,0)</f>
        <v>0</v>
      </c>
    </row>
    <row r="72" customFormat="false" ht="42" hidden="false" customHeight="true" outlineLevel="0" collapsed="false">
      <c r="A72" s="27" t="n">
        <v>67</v>
      </c>
      <c r="B72" s="28" t="s">
        <v>317</v>
      </c>
      <c r="C72" s="29" t="s">
        <v>377</v>
      </c>
      <c r="D72" s="30" t="s">
        <v>152</v>
      </c>
      <c r="E72" s="29" t="s">
        <v>386</v>
      </c>
      <c r="F72" s="28" t="s">
        <v>387</v>
      </c>
      <c r="G72" s="28" t="s">
        <v>388</v>
      </c>
      <c r="H72" s="31"/>
      <c r="I72" s="32"/>
      <c r="J72" s="32"/>
      <c r="K72" s="34" t="s">
        <v>139</v>
      </c>
      <c r="L72" s="30" t="n">
        <v>1</v>
      </c>
      <c r="M72" s="28" t="s">
        <v>381</v>
      </c>
      <c r="N72" s="28" t="s">
        <v>382</v>
      </c>
      <c r="O72" s="26" t="n">
        <f aca="false">IF(H72="不适用",0,L72)</f>
        <v>1</v>
      </c>
      <c r="P72" s="26" t="n">
        <f aca="false">IF(H72="是",L72,0)</f>
        <v>0</v>
      </c>
    </row>
    <row r="73" customFormat="false" ht="42" hidden="false" customHeight="true" outlineLevel="0" collapsed="false">
      <c r="A73" s="27" t="n">
        <v>68</v>
      </c>
      <c r="B73" s="28" t="s">
        <v>317</v>
      </c>
      <c r="C73" s="29" t="s">
        <v>377</v>
      </c>
      <c r="D73" s="30" t="s">
        <v>152</v>
      </c>
      <c r="E73" s="29" t="s">
        <v>389</v>
      </c>
      <c r="F73" s="28" t="s">
        <v>390</v>
      </c>
      <c r="G73" s="28" t="s">
        <v>391</v>
      </c>
      <c r="H73" s="31"/>
      <c r="I73" s="32"/>
      <c r="J73" s="32"/>
      <c r="K73" s="34" t="s">
        <v>139</v>
      </c>
      <c r="L73" s="30" t="n">
        <v>1</v>
      </c>
      <c r="M73" s="28" t="s">
        <v>381</v>
      </c>
      <c r="N73" s="28" t="s">
        <v>382</v>
      </c>
      <c r="O73" s="26" t="n">
        <f aca="false">IF(H73="不适用",0,L73)</f>
        <v>1</v>
      </c>
      <c r="P73" s="26" t="n">
        <f aca="false">IF(H73="是",L73,0)</f>
        <v>0</v>
      </c>
    </row>
    <row r="74" customFormat="false" ht="42" hidden="false" customHeight="true" outlineLevel="0" collapsed="false">
      <c r="A74" s="27" t="n">
        <v>69</v>
      </c>
      <c r="B74" s="28" t="s">
        <v>317</v>
      </c>
      <c r="C74" s="29" t="s">
        <v>377</v>
      </c>
      <c r="D74" s="30" t="s">
        <v>152</v>
      </c>
      <c r="E74" s="29" t="s">
        <v>392</v>
      </c>
      <c r="F74" s="28" t="s">
        <v>393</v>
      </c>
      <c r="G74" s="28" t="s">
        <v>394</v>
      </c>
      <c r="H74" s="31"/>
      <c r="I74" s="32"/>
      <c r="J74" s="32"/>
      <c r="K74" s="34" t="s">
        <v>139</v>
      </c>
      <c r="L74" s="30" t="n">
        <v>1</v>
      </c>
      <c r="M74" s="28" t="s">
        <v>381</v>
      </c>
      <c r="N74" s="28" t="s">
        <v>382</v>
      </c>
      <c r="O74" s="26" t="n">
        <f aca="false">IF(H74="不适用",0,L74)</f>
        <v>1</v>
      </c>
      <c r="P74" s="26" t="n">
        <f aca="false">IF(H74="是",L74,0)</f>
        <v>0</v>
      </c>
    </row>
    <row r="75" customFormat="false" ht="42" hidden="false" customHeight="true" outlineLevel="0" collapsed="false">
      <c r="A75" s="27" t="n">
        <v>70</v>
      </c>
      <c r="B75" s="28" t="s">
        <v>317</v>
      </c>
      <c r="C75" s="29" t="s">
        <v>377</v>
      </c>
      <c r="D75" s="30" t="s">
        <v>152</v>
      </c>
      <c r="E75" s="29" t="s">
        <v>395</v>
      </c>
      <c r="F75" s="28" t="s">
        <v>396</v>
      </c>
      <c r="G75" s="28" t="s">
        <v>397</v>
      </c>
      <c r="H75" s="31"/>
      <c r="I75" s="32"/>
      <c r="J75" s="32"/>
      <c r="K75" s="34" t="s">
        <v>139</v>
      </c>
      <c r="L75" s="30" t="n">
        <v>1</v>
      </c>
      <c r="M75" s="28" t="s">
        <v>381</v>
      </c>
      <c r="N75" s="28" t="s">
        <v>382</v>
      </c>
      <c r="O75" s="26" t="n">
        <f aca="false">IF(H75="不适用",0,L75)</f>
        <v>1</v>
      </c>
      <c r="P75" s="26" t="n">
        <f aca="false">IF(H75="是",L75,0)</f>
        <v>0</v>
      </c>
    </row>
    <row r="76" customFormat="false" ht="42" hidden="false" customHeight="true" outlineLevel="0" collapsed="false">
      <c r="A76" s="27" t="n">
        <v>71</v>
      </c>
      <c r="B76" s="28" t="s">
        <v>317</v>
      </c>
      <c r="C76" s="29" t="s">
        <v>398</v>
      </c>
      <c r="D76" s="30" t="s">
        <v>152</v>
      </c>
      <c r="E76" s="29" t="s">
        <v>399</v>
      </c>
      <c r="F76" s="28" t="s">
        <v>400</v>
      </c>
      <c r="G76" s="28" t="s">
        <v>401</v>
      </c>
      <c r="H76" s="31"/>
      <c r="I76" s="32"/>
      <c r="J76" s="32"/>
      <c r="K76" s="34" t="s">
        <v>139</v>
      </c>
      <c r="L76" s="30" t="n">
        <v>1</v>
      </c>
      <c r="M76" s="28" t="s">
        <v>402</v>
      </c>
      <c r="N76" s="28" t="s">
        <v>141</v>
      </c>
      <c r="O76" s="26" t="n">
        <f aca="false">IF(H76="不适用",0,L76)</f>
        <v>1</v>
      </c>
      <c r="P76" s="26" t="n">
        <f aca="false">IF(H76="是",L76,0)</f>
        <v>0</v>
      </c>
    </row>
    <row r="77" customFormat="false" ht="42" hidden="false" customHeight="true" outlineLevel="0" collapsed="false">
      <c r="A77" s="27" t="n">
        <v>72</v>
      </c>
      <c r="B77" s="28" t="s">
        <v>317</v>
      </c>
      <c r="C77" s="29" t="s">
        <v>398</v>
      </c>
      <c r="D77" s="30" t="s">
        <v>152</v>
      </c>
      <c r="E77" s="29" t="s">
        <v>403</v>
      </c>
      <c r="F77" s="28" t="s">
        <v>404</v>
      </c>
      <c r="G77" s="28" t="s">
        <v>405</v>
      </c>
      <c r="H77" s="31"/>
      <c r="I77" s="32"/>
      <c r="J77" s="32"/>
      <c r="K77" s="34" t="s">
        <v>139</v>
      </c>
      <c r="L77" s="30" t="n">
        <v>1</v>
      </c>
      <c r="M77" s="28" t="s">
        <v>402</v>
      </c>
      <c r="N77" s="28" t="s">
        <v>141</v>
      </c>
      <c r="O77" s="26" t="n">
        <f aca="false">IF(H77="不适用",0,L77)</f>
        <v>1</v>
      </c>
      <c r="P77" s="26" t="n">
        <f aca="false">IF(H77="是",L77,0)</f>
        <v>0</v>
      </c>
    </row>
    <row r="78" customFormat="false" ht="42" hidden="false" customHeight="true" outlineLevel="0" collapsed="false">
      <c r="A78" s="27" t="n">
        <v>73</v>
      </c>
      <c r="B78" s="28" t="s">
        <v>317</v>
      </c>
      <c r="C78" s="29" t="s">
        <v>398</v>
      </c>
      <c r="D78" s="30" t="s">
        <v>152</v>
      </c>
      <c r="E78" s="29" t="s">
        <v>406</v>
      </c>
      <c r="F78" s="28" t="s">
        <v>407</v>
      </c>
      <c r="G78" s="28" t="s">
        <v>408</v>
      </c>
      <c r="H78" s="31"/>
      <c r="I78" s="32"/>
      <c r="J78" s="32"/>
      <c r="K78" s="34" t="s">
        <v>139</v>
      </c>
      <c r="L78" s="30" t="n">
        <v>1</v>
      </c>
      <c r="M78" s="28" t="s">
        <v>402</v>
      </c>
      <c r="N78" s="28" t="s">
        <v>141</v>
      </c>
      <c r="O78" s="26" t="n">
        <f aca="false">IF(H78="不适用",0,L78)</f>
        <v>1</v>
      </c>
      <c r="P78" s="26" t="n">
        <f aca="false">IF(H78="是",L78,0)</f>
        <v>0</v>
      </c>
    </row>
    <row r="79" customFormat="false" ht="42" hidden="false" customHeight="true" outlineLevel="0" collapsed="false">
      <c r="A79" s="27" t="n">
        <v>74</v>
      </c>
      <c r="B79" s="28" t="s">
        <v>317</v>
      </c>
      <c r="C79" s="29" t="s">
        <v>398</v>
      </c>
      <c r="D79" s="30" t="s">
        <v>152</v>
      </c>
      <c r="E79" s="29" t="s">
        <v>409</v>
      </c>
      <c r="F79" s="28" t="s">
        <v>410</v>
      </c>
      <c r="G79" s="29"/>
      <c r="H79" s="31"/>
      <c r="I79" s="32"/>
      <c r="J79" s="32"/>
      <c r="K79" s="34" t="s">
        <v>139</v>
      </c>
      <c r="L79" s="30" t="n">
        <v>1</v>
      </c>
      <c r="M79" s="28" t="s">
        <v>402</v>
      </c>
      <c r="N79" s="28" t="s">
        <v>141</v>
      </c>
      <c r="O79" s="26" t="n">
        <f aca="false">IF(H79="不适用",0,L79)</f>
        <v>1</v>
      </c>
      <c r="P79" s="26" t="n">
        <f aca="false">IF(H79="是",L79,0)</f>
        <v>0</v>
      </c>
    </row>
    <row r="80" customFormat="false" ht="42" hidden="false" customHeight="true" outlineLevel="0" collapsed="false">
      <c r="A80" s="27" t="n">
        <v>75</v>
      </c>
      <c r="B80" s="28" t="s">
        <v>317</v>
      </c>
      <c r="C80" s="29" t="s">
        <v>411</v>
      </c>
      <c r="D80" s="30" t="s">
        <v>152</v>
      </c>
      <c r="E80" s="29" t="s">
        <v>412</v>
      </c>
      <c r="F80" s="28" t="s">
        <v>413</v>
      </c>
      <c r="G80" s="29" t="s">
        <v>414</v>
      </c>
      <c r="H80" s="31"/>
      <c r="I80" s="32"/>
      <c r="J80" s="32"/>
      <c r="K80" s="44" t="s">
        <v>231</v>
      </c>
      <c r="L80" s="30" t="n">
        <v>1</v>
      </c>
      <c r="M80" s="28" t="s">
        <v>415</v>
      </c>
      <c r="N80" s="28" t="s">
        <v>416</v>
      </c>
      <c r="O80" s="26" t="n">
        <f aca="false">IF(H80="不适用",0,L80)</f>
        <v>1</v>
      </c>
      <c r="P80" s="26" t="n">
        <f aca="false">IF(H80="是",L80,0)</f>
        <v>0</v>
      </c>
    </row>
    <row r="81" customFormat="false" ht="42" hidden="false" customHeight="true" outlineLevel="0" collapsed="false">
      <c r="A81" s="36" t="n">
        <v>76</v>
      </c>
      <c r="B81" s="37" t="s">
        <v>417</v>
      </c>
      <c r="C81" s="38" t="s">
        <v>418</v>
      </c>
      <c r="D81" s="39" t="s">
        <v>128</v>
      </c>
      <c r="E81" s="38" t="s">
        <v>419</v>
      </c>
      <c r="F81" s="37" t="s">
        <v>420</v>
      </c>
      <c r="G81" s="37" t="s">
        <v>421</v>
      </c>
      <c r="H81" s="31"/>
      <c r="I81" s="32"/>
      <c r="J81" s="32"/>
      <c r="K81" s="40" t="s">
        <v>139</v>
      </c>
      <c r="L81" s="43" t="n">
        <v>3</v>
      </c>
      <c r="M81" s="37" t="s">
        <v>422</v>
      </c>
      <c r="N81" s="37" t="s">
        <v>141</v>
      </c>
      <c r="O81" s="26" t="n">
        <f aca="false">IF(H81="不适用",0,L81)</f>
        <v>3</v>
      </c>
      <c r="P81" s="26" t="n">
        <f aca="false">IF(H81="是",L81,0)</f>
        <v>0</v>
      </c>
    </row>
    <row r="82" customFormat="false" ht="42" hidden="false" customHeight="true" outlineLevel="0" collapsed="false">
      <c r="A82" s="36" t="n">
        <v>77</v>
      </c>
      <c r="B82" s="37" t="s">
        <v>417</v>
      </c>
      <c r="C82" s="38" t="s">
        <v>423</v>
      </c>
      <c r="D82" s="39" t="s">
        <v>152</v>
      </c>
      <c r="E82" s="38" t="s">
        <v>424</v>
      </c>
      <c r="F82" s="37" t="s">
        <v>425</v>
      </c>
      <c r="G82" s="37" t="s">
        <v>426</v>
      </c>
      <c r="H82" s="31"/>
      <c r="I82" s="32"/>
      <c r="J82" s="32"/>
      <c r="K82" s="41" t="s">
        <v>123</v>
      </c>
      <c r="L82" s="43" t="n">
        <v>3</v>
      </c>
      <c r="M82" s="37" t="s">
        <v>427</v>
      </c>
      <c r="N82" s="37" t="s">
        <v>428</v>
      </c>
      <c r="O82" s="26" t="n">
        <f aca="false">IF(H82="不适用",0,L82)</f>
        <v>3</v>
      </c>
      <c r="P82" s="26" t="n">
        <f aca="false">IF(H82="是",L82,0)</f>
        <v>0</v>
      </c>
    </row>
    <row r="83" customFormat="false" ht="42" hidden="false" customHeight="true" outlineLevel="0" collapsed="false">
      <c r="A83" s="36" t="n">
        <v>78</v>
      </c>
      <c r="B83" s="37" t="s">
        <v>417</v>
      </c>
      <c r="C83" s="38" t="s">
        <v>423</v>
      </c>
      <c r="D83" s="39" t="s">
        <v>152</v>
      </c>
      <c r="E83" s="38" t="s">
        <v>429</v>
      </c>
      <c r="F83" s="37" t="s">
        <v>430</v>
      </c>
      <c r="G83" s="38"/>
      <c r="H83" s="31"/>
      <c r="I83" s="32"/>
      <c r="J83" s="32"/>
      <c r="K83" s="40" t="s">
        <v>139</v>
      </c>
      <c r="L83" s="43" t="n">
        <v>3</v>
      </c>
      <c r="M83" s="37" t="s">
        <v>427</v>
      </c>
      <c r="N83" s="37" t="s">
        <v>428</v>
      </c>
      <c r="O83" s="26" t="n">
        <f aca="false">IF(H83="不适用",0,L83)</f>
        <v>3</v>
      </c>
      <c r="P83" s="26" t="n">
        <f aca="false">IF(H83="是",L83,0)</f>
        <v>0</v>
      </c>
    </row>
    <row r="84" customFormat="false" ht="42" hidden="false" customHeight="true" outlineLevel="0" collapsed="false">
      <c r="A84" s="36" t="n">
        <v>79</v>
      </c>
      <c r="B84" s="37" t="s">
        <v>417</v>
      </c>
      <c r="C84" s="38" t="s">
        <v>423</v>
      </c>
      <c r="D84" s="39" t="s">
        <v>152</v>
      </c>
      <c r="E84" s="38" t="s">
        <v>431</v>
      </c>
      <c r="F84" s="37" t="s">
        <v>432</v>
      </c>
      <c r="G84" s="37" t="s">
        <v>433</v>
      </c>
      <c r="H84" s="31"/>
      <c r="I84" s="32"/>
      <c r="J84" s="32"/>
      <c r="K84" s="40" t="s">
        <v>139</v>
      </c>
      <c r="L84" s="43" t="n">
        <v>3</v>
      </c>
      <c r="M84" s="37" t="s">
        <v>427</v>
      </c>
      <c r="N84" s="37" t="s">
        <v>428</v>
      </c>
      <c r="O84" s="26" t="n">
        <f aca="false">IF(H84="不适用",0,L84)</f>
        <v>3</v>
      </c>
      <c r="P84" s="26" t="n">
        <f aca="false">IF(H84="是",L84,0)</f>
        <v>0</v>
      </c>
    </row>
    <row r="85" customFormat="false" ht="42" hidden="false" customHeight="true" outlineLevel="0" collapsed="false">
      <c r="A85" s="36" t="n">
        <v>80</v>
      </c>
      <c r="B85" s="37" t="s">
        <v>417</v>
      </c>
      <c r="C85" s="38" t="s">
        <v>423</v>
      </c>
      <c r="D85" s="39" t="s">
        <v>152</v>
      </c>
      <c r="E85" s="38" t="s">
        <v>434</v>
      </c>
      <c r="F85" s="37" t="s">
        <v>435</v>
      </c>
      <c r="G85" s="37" t="s">
        <v>436</v>
      </c>
      <c r="H85" s="31"/>
      <c r="I85" s="32"/>
      <c r="J85" s="32"/>
      <c r="K85" s="40" t="s">
        <v>139</v>
      </c>
      <c r="L85" s="43" t="n">
        <v>3</v>
      </c>
      <c r="M85" s="37" t="s">
        <v>427</v>
      </c>
      <c r="N85" s="37" t="s">
        <v>428</v>
      </c>
      <c r="O85" s="26" t="n">
        <f aca="false">IF(H85="不适用",0,L85)</f>
        <v>3</v>
      </c>
      <c r="P85" s="26" t="n">
        <f aca="false">IF(H85="是",L85,0)</f>
        <v>0</v>
      </c>
    </row>
    <row r="86" customFormat="false" ht="42" hidden="false" customHeight="true" outlineLevel="0" collapsed="false">
      <c r="A86" s="36" t="n">
        <v>81</v>
      </c>
      <c r="B86" s="37" t="s">
        <v>417</v>
      </c>
      <c r="C86" s="38" t="s">
        <v>423</v>
      </c>
      <c r="D86" s="39" t="s">
        <v>152</v>
      </c>
      <c r="E86" s="38" t="s">
        <v>437</v>
      </c>
      <c r="F86" s="37" t="s">
        <v>438</v>
      </c>
      <c r="G86" s="37" t="s">
        <v>439</v>
      </c>
      <c r="H86" s="31"/>
      <c r="I86" s="32"/>
      <c r="J86" s="32"/>
      <c r="K86" s="40" t="s">
        <v>139</v>
      </c>
      <c r="L86" s="43" t="n">
        <v>3</v>
      </c>
      <c r="M86" s="37" t="s">
        <v>427</v>
      </c>
      <c r="N86" s="37" t="s">
        <v>428</v>
      </c>
      <c r="O86" s="26" t="n">
        <f aca="false">IF(H86="不适用",0,L86)</f>
        <v>3</v>
      </c>
      <c r="P86" s="26" t="n">
        <f aca="false">IF(H86="是",L86,0)</f>
        <v>0</v>
      </c>
    </row>
    <row r="87" customFormat="false" ht="42" hidden="false" customHeight="true" outlineLevel="0" collapsed="false">
      <c r="A87" s="36" t="n">
        <v>82</v>
      </c>
      <c r="B87" s="37" t="s">
        <v>417</v>
      </c>
      <c r="C87" s="38" t="s">
        <v>423</v>
      </c>
      <c r="D87" s="39" t="s">
        <v>152</v>
      </c>
      <c r="E87" s="38" t="s">
        <v>440</v>
      </c>
      <c r="F87" s="37" t="s">
        <v>441</v>
      </c>
      <c r="G87" s="38"/>
      <c r="H87" s="31"/>
      <c r="I87" s="32"/>
      <c r="J87" s="32"/>
      <c r="K87" s="40" t="s">
        <v>139</v>
      </c>
      <c r="L87" s="43" t="n">
        <v>3</v>
      </c>
      <c r="M87" s="37" t="s">
        <v>427</v>
      </c>
      <c r="N87" s="37" t="s">
        <v>428</v>
      </c>
      <c r="O87" s="26" t="n">
        <f aca="false">IF(H87="不适用",0,L87)</f>
        <v>3</v>
      </c>
      <c r="P87" s="26" t="n">
        <f aca="false">IF(H87="是",L87,0)</f>
        <v>0</v>
      </c>
    </row>
    <row r="88" customFormat="false" ht="42" hidden="false" customHeight="true" outlineLevel="0" collapsed="false">
      <c r="A88" s="36" t="n">
        <v>83</v>
      </c>
      <c r="B88" s="37" t="s">
        <v>417</v>
      </c>
      <c r="C88" s="38" t="s">
        <v>423</v>
      </c>
      <c r="D88" s="39" t="s">
        <v>152</v>
      </c>
      <c r="E88" s="38" t="s">
        <v>442</v>
      </c>
      <c r="F88" s="37" t="s">
        <v>443</v>
      </c>
      <c r="G88" s="37" t="s">
        <v>444</v>
      </c>
      <c r="H88" s="31"/>
      <c r="I88" s="32"/>
      <c r="J88" s="32"/>
      <c r="K88" s="40" t="s">
        <v>139</v>
      </c>
      <c r="L88" s="43" t="n">
        <v>3</v>
      </c>
      <c r="M88" s="37" t="s">
        <v>427</v>
      </c>
      <c r="N88" s="37" t="s">
        <v>428</v>
      </c>
      <c r="O88" s="26" t="n">
        <f aca="false">IF(H88="不适用",0,L88)</f>
        <v>3</v>
      </c>
      <c r="P88" s="26" t="n">
        <f aca="false">IF(H88="是",L88,0)</f>
        <v>0</v>
      </c>
    </row>
    <row r="89" customFormat="false" ht="42" hidden="false" customHeight="true" outlineLevel="0" collapsed="false">
      <c r="A89" s="36" t="n">
        <v>84</v>
      </c>
      <c r="B89" s="37" t="s">
        <v>417</v>
      </c>
      <c r="C89" s="38" t="s">
        <v>445</v>
      </c>
      <c r="D89" s="39" t="s">
        <v>128</v>
      </c>
      <c r="E89" s="38" t="s">
        <v>446</v>
      </c>
      <c r="F89" s="37" t="s">
        <v>447</v>
      </c>
      <c r="G89" s="37" t="s">
        <v>448</v>
      </c>
      <c r="H89" s="31"/>
      <c r="I89" s="32"/>
      <c r="J89" s="32"/>
      <c r="K89" s="41" t="s">
        <v>123</v>
      </c>
      <c r="L89" s="43" t="n">
        <v>3</v>
      </c>
      <c r="M89" s="37" t="s">
        <v>449</v>
      </c>
      <c r="N89" s="37" t="s">
        <v>450</v>
      </c>
      <c r="O89" s="26" t="n">
        <f aca="false">IF(H89="不适用",0,L89)</f>
        <v>3</v>
      </c>
      <c r="P89" s="26" t="n">
        <f aca="false">IF(H89="是",L89,0)</f>
        <v>0</v>
      </c>
    </row>
    <row r="90" customFormat="false" ht="42" hidden="false" customHeight="true" outlineLevel="0" collapsed="false">
      <c r="A90" s="36" t="n">
        <v>85</v>
      </c>
      <c r="B90" s="37" t="s">
        <v>417</v>
      </c>
      <c r="C90" s="38" t="s">
        <v>445</v>
      </c>
      <c r="D90" s="39" t="s">
        <v>152</v>
      </c>
      <c r="E90" s="38" t="s">
        <v>451</v>
      </c>
      <c r="F90" s="37" t="s">
        <v>452</v>
      </c>
      <c r="G90" s="37" t="s">
        <v>453</v>
      </c>
      <c r="H90" s="31"/>
      <c r="I90" s="32"/>
      <c r="J90" s="32"/>
      <c r="K90" s="41" t="s">
        <v>123</v>
      </c>
      <c r="L90" s="43" t="n">
        <v>3</v>
      </c>
      <c r="M90" s="37" t="s">
        <v>454</v>
      </c>
      <c r="N90" s="37" t="s">
        <v>455</v>
      </c>
      <c r="O90" s="26" t="n">
        <f aca="false">IF(H90="不适用",0,L90)</f>
        <v>3</v>
      </c>
      <c r="P90" s="26" t="n">
        <f aca="false">IF(H90="是",L90,0)</f>
        <v>0</v>
      </c>
    </row>
    <row r="91" customFormat="false" ht="42" hidden="false" customHeight="true" outlineLevel="0" collapsed="false">
      <c r="A91" s="36" t="n">
        <v>86</v>
      </c>
      <c r="B91" s="37" t="s">
        <v>417</v>
      </c>
      <c r="C91" s="38" t="s">
        <v>445</v>
      </c>
      <c r="D91" s="39" t="s">
        <v>128</v>
      </c>
      <c r="E91" s="38" t="s">
        <v>456</v>
      </c>
      <c r="F91" s="37" t="s">
        <v>457</v>
      </c>
      <c r="G91" s="37" t="s">
        <v>458</v>
      </c>
      <c r="H91" s="31"/>
      <c r="I91" s="32"/>
      <c r="J91" s="32"/>
      <c r="K91" s="41" t="s">
        <v>123</v>
      </c>
      <c r="L91" s="39" t="n">
        <v>1</v>
      </c>
      <c r="M91" s="37" t="s">
        <v>459</v>
      </c>
      <c r="N91" s="37" t="s">
        <v>460</v>
      </c>
      <c r="O91" s="26" t="n">
        <f aca="false">IF(H91="不适用",0,L91)</f>
        <v>1</v>
      </c>
      <c r="P91" s="26" t="n">
        <f aca="false">IF(H91="是",L91,0)</f>
        <v>0</v>
      </c>
    </row>
    <row r="92" customFormat="false" ht="42" hidden="false" customHeight="true" outlineLevel="0" collapsed="false">
      <c r="A92" s="36" t="n">
        <v>87</v>
      </c>
      <c r="B92" s="37" t="s">
        <v>417</v>
      </c>
      <c r="C92" s="38" t="s">
        <v>461</v>
      </c>
      <c r="D92" s="39" t="s">
        <v>152</v>
      </c>
      <c r="E92" s="38" t="s">
        <v>462</v>
      </c>
      <c r="F92" s="37" t="s">
        <v>463</v>
      </c>
      <c r="G92" s="37" t="s">
        <v>464</v>
      </c>
      <c r="H92" s="31"/>
      <c r="I92" s="32"/>
      <c r="J92" s="32"/>
      <c r="K92" s="40" t="s">
        <v>139</v>
      </c>
      <c r="L92" s="39" t="n">
        <v>1</v>
      </c>
      <c r="M92" s="37" t="s">
        <v>465</v>
      </c>
      <c r="N92" s="37" t="s">
        <v>141</v>
      </c>
      <c r="O92" s="26" t="n">
        <f aca="false">IF(H92="不适用",0,L92)</f>
        <v>1</v>
      </c>
      <c r="P92" s="26" t="n">
        <f aca="false">IF(H92="是",L92,0)</f>
        <v>0</v>
      </c>
    </row>
    <row r="93" customFormat="false" ht="42" hidden="false" customHeight="true" outlineLevel="0" collapsed="false">
      <c r="A93" s="36" t="n">
        <v>88</v>
      </c>
      <c r="B93" s="37" t="s">
        <v>417</v>
      </c>
      <c r="C93" s="38" t="s">
        <v>461</v>
      </c>
      <c r="D93" s="39" t="s">
        <v>152</v>
      </c>
      <c r="E93" s="38" t="s">
        <v>466</v>
      </c>
      <c r="F93" s="37" t="s">
        <v>467</v>
      </c>
      <c r="G93" s="37" t="s">
        <v>468</v>
      </c>
      <c r="H93" s="31"/>
      <c r="I93" s="32"/>
      <c r="J93" s="32"/>
      <c r="K93" s="40" t="s">
        <v>139</v>
      </c>
      <c r="L93" s="43" t="n">
        <v>3</v>
      </c>
      <c r="M93" s="37" t="s">
        <v>465</v>
      </c>
      <c r="N93" s="37" t="s">
        <v>141</v>
      </c>
      <c r="O93" s="26" t="n">
        <f aca="false">IF(H93="不适用",0,L93)</f>
        <v>3</v>
      </c>
      <c r="P93" s="26" t="n">
        <f aca="false">IF(H93="是",L93,0)</f>
        <v>0</v>
      </c>
    </row>
    <row r="94" customFormat="false" ht="42" hidden="false" customHeight="true" outlineLevel="0" collapsed="false">
      <c r="A94" s="36" t="n">
        <v>89</v>
      </c>
      <c r="B94" s="37" t="s">
        <v>417</v>
      </c>
      <c r="C94" s="38" t="s">
        <v>461</v>
      </c>
      <c r="D94" s="39" t="s">
        <v>152</v>
      </c>
      <c r="E94" s="38" t="s">
        <v>469</v>
      </c>
      <c r="F94" s="37" t="s">
        <v>470</v>
      </c>
      <c r="G94" s="37" t="s">
        <v>471</v>
      </c>
      <c r="H94" s="31"/>
      <c r="I94" s="32"/>
      <c r="J94" s="32"/>
      <c r="K94" s="40" t="s">
        <v>139</v>
      </c>
      <c r="L94" s="43" t="n">
        <v>3</v>
      </c>
      <c r="M94" s="37" t="s">
        <v>465</v>
      </c>
      <c r="N94" s="37" t="s">
        <v>141</v>
      </c>
      <c r="O94" s="26" t="n">
        <f aca="false">IF(H94="不适用",0,L94)</f>
        <v>3</v>
      </c>
      <c r="P94" s="26" t="n">
        <f aca="false">IF(H94="是",L94,0)</f>
        <v>0</v>
      </c>
    </row>
    <row r="95" customFormat="false" ht="42" hidden="false" customHeight="true" outlineLevel="0" collapsed="false">
      <c r="A95" s="36" t="n">
        <v>90</v>
      </c>
      <c r="B95" s="37" t="s">
        <v>417</v>
      </c>
      <c r="C95" s="38" t="s">
        <v>461</v>
      </c>
      <c r="D95" s="39" t="s">
        <v>152</v>
      </c>
      <c r="E95" s="38" t="s">
        <v>472</v>
      </c>
      <c r="F95" s="37" t="s">
        <v>473</v>
      </c>
      <c r="G95" s="37" t="s">
        <v>474</v>
      </c>
      <c r="H95" s="31"/>
      <c r="I95" s="32"/>
      <c r="J95" s="32"/>
      <c r="K95" s="40" t="s">
        <v>139</v>
      </c>
      <c r="L95" s="43" t="n">
        <v>3</v>
      </c>
      <c r="M95" s="37" t="s">
        <v>465</v>
      </c>
      <c r="N95" s="37" t="s">
        <v>141</v>
      </c>
      <c r="O95" s="26" t="n">
        <f aca="false">IF(H95="不适用",0,L95)</f>
        <v>3</v>
      </c>
      <c r="P95" s="26" t="n">
        <f aca="false">IF(H95="是",L95,0)</f>
        <v>0</v>
      </c>
    </row>
    <row r="96" customFormat="false" ht="42" hidden="false" customHeight="true" outlineLevel="0" collapsed="false">
      <c r="A96" s="36" t="n">
        <v>91</v>
      </c>
      <c r="B96" s="37" t="s">
        <v>417</v>
      </c>
      <c r="C96" s="38" t="s">
        <v>461</v>
      </c>
      <c r="D96" s="39" t="s">
        <v>152</v>
      </c>
      <c r="E96" s="38" t="s">
        <v>475</v>
      </c>
      <c r="F96" s="37" t="s">
        <v>476</v>
      </c>
      <c r="G96" s="37" t="s">
        <v>477</v>
      </c>
      <c r="H96" s="31"/>
      <c r="I96" s="32"/>
      <c r="J96" s="32"/>
      <c r="K96" s="40" t="s">
        <v>139</v>
      </c>
      <c r="L96" s="43" t="n">
        <v>3</v>
      </c>
      <c r="M96" s="37" t="s">
        <v>465</v>
      </c>
      <c r="N96" s="37" t="s">
        <v>141</v>
      </c>
      <c r="O96" s="26" t="n">
        <f aca="false">IF(H96="不适用",0,L96)</f>
        <v>3</v>
      </c>
      <c r="P96" s="26" t="n">
        <f aca="false">IF(H96="是",L96,0)</f>
        <v>0</v>
      </c>
    </row>
    <row r="97" customFormat="false" ht="42" hidden="false" customHeight="true" outlineLevel="0" collapsed="false">
      <c r="A97" s="36" t="n">
        <v>92</v>
      </c>
      <c r="B97" s="37" t="s">
        <v>417</v>
      </c>
      <c r="C97" s="38" t="s">
        <v>461</v>
      </c>
      <c r="D97" s="39" t="s">
        <v>152</v>
      </c>
      <c r="E97" s="38" t="s">
        <v>478</v>
      </c>
      <c r="F97" s="37" t="s">
        <v>479</v>
      </c>
      <c r="G97" s="37" t="s">
        <v>480</v>
      </c>
      <c r="H97" s="31"/>
      <c r="I97" s="32"/>
      <c r="J97" s="32"/>
      <c r="K97" s="40" t="s">
        <v>139</v>
      </c>
      <c r="L97" s="43" t="n">
        <v>3</v>
      </c>
      <c r="M97" s="37" t="s">
        <v>465</v>
      </c>
      <c r="N97" s="37" t="s">
        <v>141</v>
      </c>
      <c r="O97" s="26" t="n">
        <f aca="false">IF(H97="不适用",0,L97)</f>
        <v>3</v>
      </c>
      <c r="P97" s="26" t="n">
        <f aca="false">IF(H97="是",L97,0)</f>
        <v>0</v>
      </c>
    </row>
    <row r="98" customFormat="false" ht="42" hidden="false" customHeight="true" outlineLevel="0" collapsed="false">
      <c r="A98" s="27" t="n">
        <v>93</v>
      </c>
      <c r="B98" s="28" t="s">
        <v>481</v>
      </c>
      <c r="C98" s="29" t="s">
        <v>482</v>
      </c>
      <c r="D98" s="30" t="s">
        <v>152</v>
      </c>
      <c r="E98" s="29" t="s">
        <v>483</v>
      </c>
      <c r="F98" s="28" t="s">
        <v>484</v>
      </c>
      <c r="G98" s="28" t="s">
        <v>485</v>
      </c>
      <c r="H98" s="31"/>
      <c r="I98" s="32"/>
      <c r="J98" s="32"/>
      <c r="K98" s="34" t="s">
        <v>139</v>
      </c>
      <c r="L98" s="30" t="n">
        <v>1</v>
      </c>
      <c r="M98" s="28" t="s">
        <v>486</v>
      </c>
      <c r="N98" s="28" t="s">
        <v>141</v>
      </c>
      <c r="O98" s="26" t="n">
        <f aca="false">IF(H98="不适用",0,L98)</f>
        <v>1</v>
      </c>
      <c r="P98" s="26" t="n">
        <f aca="false">IF(H98="是",L98,0)</f>
        <v>0</v>
      </c>
    </row>
    <row r="99" customFormat="false" ht="42" hidden="false" customHeight="true" outlineLevel="0" collapsed="false">
      <c r="A99" s="27" t="n">
        <v>94</v>
      </c>
      <c r="B99" s="28" t="s">
        <v>481</v>
      </c>
      <c r="C99" s="29" t="s">
        <v>482</v>
      </c>
      <c r="D99" s="30" t="s">
        <v>152</v>
      </c>
      <c r="E99" s="29" t="s">
        <v>487</v>
      </c>
      <c r="F99" s="28" t="s">
        <v>488</v>
      </c>
      <c r="G99" s="28" t="s">
        <v>485</v>
      </c>
      <c r="H99" s="31"/>
      <c r="I99" s="32"/>
      <c r="J99" s="32"/>
      <c r="K99" s="34" t="s">
        <v>139</v>
      </c>
      <c r="L99" s="30" t="n">
        <v>1</v>
      </c>
      <c r="M99" s="28" t="s">
        <v>486</v>
      </c>
      <c r="N99" s="28" t="s">
        <v>141</v>
      </c>
      <c r="O99" s="26" t="n">
        <f aca="false">IF(H99="不适用",0,L99)</f>
        <v>1</v>
      </c>
      <c r="P99" s="26" t="n">
        <f aca="false">IF(H99="是",L99,0)</f>
        <v>0</v>
      </c>
    </row>
    <row r="100" customFormat="false" ht="42" hidden="false" customHeight="true" outlineLevel="0" collapsed="false">
      <c r="A100" s="27" t="n">
        <v>95</v>
      </c>
      <c r="B100" s="28" t="s">
        <v>481</v>
      </c>
      <c r="C100" s="29" t="s">
        <v>482</v>
      </c>
      <c r="D100" s="30" t="s">
        <v>152</v>
      </c>
      <c r="E100" s="29" t="s">
        <v>489</v>
      </c>
      <c r="F100" s="28" t="s">
        <v>490</v>
      </c>
      <c r="G100" s="28" t="s">
        <v>491</v>
      </c>
      <c r="H100" s="31"/>
      <c r="I100" s="32"/>
      <c r="J100" s="32"/>
      <c r="K100" s="34" t="s">
        <v>139</v>
      </c>
      <c r="L100" s="30" t="n">
        <v>1</v>
      </c>
      <c r="M100" s="28" t="s">
        <v>486</v>
      </c>
      <c r="N100" s="28" t="s">
        <v>141</v>
      </c>
      <c r="O100" s="26" t="n">
        <f aca="false">IF(H100="不适用",0,L100)</f>
        <v>1</v>
      </c>
      <c r="P100" s="26" t="n">
        <f aca="false">IF(H100="是",L100,0)</f>
        <v>0</v>
      </c>
    </row>
    <row r="101" customFormat="false" ht="42" hidden="false" customHeight="true" outlineLevel="0" collapsed="false">
      <c r="A101" s="27" t="n">
        <v>96</v>
      </c>
      <c r="B101" s="28" t="s">
        <v>481</v>
      </c>
      <c r="C101" s="29" t="s">
        <v>482</v>
      </c>
      <c r="D101" s="30" t="s">
        <v>152</v>
      </c>
      <c r="E101" s="29" t="s">
        <v>492</v>
      </c>
      <c r="F101" s="28" t="s">
        <v>493</v>
      </c>
      <c r="G101" s="28" t="s">
        <v>494</v>
      </c>
      <c r="H101" s="31"/>
      <c r="I101" s="32"/>
      <c r="J101" s="32"/>
      <c r="K101" s="34" t="s">
        <v>139</v>
      </c>
      <c r="L101" s="30" t="n">
        <v>1</v>
      </c>
      <c r="M101" s="28" t="s">
        <v>486</v>
      </c>
      <c r="N101" s="28" t="s">
        <v>141</v>
      </c>
      <c r="O101" s="26" t="n">
        <f aca="false">IF(H101="不适用",0,L101)</f>
        <v>1</v>
      </c>
      <c r="P101" s="26" t="n">
        <f aca="false">IF(H101="是",L101,0)</f>
        <v>0</v>
      </c>
    </row>
    <row r="102" customFormat="false" ht="42" hidden="false" customHeight="true" outlineLevel="0" collapsed="false">
      <c r="A102" s="27" t="n">
        <v>97</v>
      </c>
      <c r="B102" s="28" t="s">
        <v>481</v>
      </c>
      <c r="C102" s="29" t="s">
        <v>495</v>
      </c>
      <c r="D102" s="30" t="s">
        <v>135</v>
      </c>
      <c r="E102" s="29" t="s">
        <v>496</v>
      </c>
      <c r="F102" s="28" t="s">
        <v>497</v>
      </c>
      <c r="G102" s="28" t="s">
        <v>494</v>
      </c>
      <c r="H102" s="31"/>
      <c r="I102" s="32"/>
      <c r="J102" s="32"/>
      <c r="K102" s="34" t="s">
        <v>139</v>
      </c>
      <c r="L102" s="30" t="n">
        <v>1</v>
      </c>
      <c r="M102" s="28" t="s">
        <v>498</v>
      </c>
      <c r="N102" s="28" t="s">
        <v>499</v>
      </c>
      <c r="O102" s="26" t="n">
        <f aca="false">IF(H102="不适用",0,L102)</f>
        <v>1</v>
      </c>
      <c r="P102" s="26" t="n">
        <f aca="false">IF(H102="是",L102,0)</f>
        <v>0</v>
      </c>
    </row>
    <row r="103" customFormat="false" ht="42" hidden="false" customHeight="true" outlineLevel="0" collapsed="false">
      <c r="A103" s="27" t="n">
        <v>98</v>
      </c>
      <c r="B103" s="28" t="s">
        <v>481</v>
      </c>
      <c r="C103" s="29" t="s">
        <v>495</v>
      </c>
      <c r="D103" s="30" t="s">
        <v>135</v>
      </c>
      <c r="E103" s="29" t="s">
        <v>500</v>
      </c>
      <c r="F103" s="28" t="s">
        <v>501</v>
      </c>
      <c r="G103" s="29" t="s">
        <v>502</v>
      </c>
      <c r="H103" s="31"/>
      <c r="I103" s="32"/>
      <c r="J103" s="32"/>
      <c r="K103" s="33" t="s">
        <v>123</v>
      </c>
      <c r="L103" s="30" t="n">
        <v>1</v>
      </c>
      <c r="M103" s="28" t="s">
        <v>498</v>
      </c>
      <c r="N103" s="28" t="s">
        <v>499</v>
      </c>
      <c r="O103" s="26" t="n">
        <f aca="false">IF(H103="不适用",0,L103)</f>
        <v>1</v>
      </c>
      <c r="P103" s="26" t="n">
        <f aca="false">IF(H103="是",L103,0)</f>
        <v>0</v>
      </c>
    </row>
    <row r="104" customFormat="false" ht="42" hidden="false" customHeight="true" outlineLevel="0" collapsed="false">
      <c r="A104" s="27" t="n">
        <v>99</v>
      </c>
      <c r="B104" s="28" t="s">
        <v>481</v>
      </c>
      <c r="C104" s="29" t="s">
        <v>495</v>
      </c>
      <c r="D104" s="30" t="s">
        <v>152</v>
      </c>
      <c r="E104" s="29" t="s">
        <v>503</v>
      </c>
      <c r="F104" s="28" t="s">
        <v>504</v>
      </c>
      <c r="G104" s="28" t="s">
        <v>505</v>
      </c>
      <c r="H104" s="31"/>
      <c r="I104" s="32"/>
      <c r="J104" s="32"/>
      <c r="K104" s="34" t="s">
        <v>139</v>
      </c>
      <c r="L104" s="30" t="n">
        <v>1</v>
      </c>
      <c r="M104" s="28" t="s">
        <v>506</v>
      </c>
      <c r="N104" s="28" t="s">
        <v>507</v>
      </c>
      <c r="O104" s="26" t="n">
        <f aca="false">IF(H104="不适用",0,L104)</f>
        <v>1</v>
      </c>
      <c r="P104" s="26" t="n">
        <f aca="false">IF(H104="是",L104,0)</f>
        <v>0</v>
      </c>
    </row>
    <row r="105" customFormat="false" ht="42" hidden="false" customHeight="true" outlineLevel="0" collapsed="false">
      <c r="A105" s="27" t="n">
        <v>100</v>
      </c>
      <c r="B105" s="28" t="s">
        <v>481</v>
      </c>
      <c r="C105" s="29" t="s">
        <v>495</v>
      </c>
      <c r="D105" s="30" t="s">
        <v>152</v>
      </c>
      <c r="E105" s="29" t="s">
        <v>508</v>
      </c>
      <c r="F105" s="28" t="s">
        <v>509</v>
      </c>
      <c r="G105" s="28" t="s">
        <v>510</v>
      </c>
      <c r="H105" s="31"/>
      <c r="I105" s="32"/>
      <c r="J105" s="32"/>
      <c r="K105" s="33" t="s">
        <v>123</v>
      </c>
      <c r="L105" s="30" t="n">
        <v>1</v>
      </c>
      <c r="M105" s="28" t="s">
        <v>511</v>
      </c>
      <c r="N105" s="28" t="s">
        <v>512</v>
      </c>
      <c r="O105" s="26" t="n">
        <f aca="false">IF(H105="不适用",0,L105)</f>
        <v>1</v>
      </c>
      <c r="P105" s="26" t="n">
        <f aca="false">IF(H105="是",L105,0)</f>
        <v>0</v>
      </c>
    </row>
    <row r="106" customFormat="false" ht="42" hidden="false" customHeight="true" outlineLevel="0" collapsed="false">
      <c r="A106" s="27" t="n">
        <v>101</v>
      </c>
      <c r="B106" s="28" t="s">
        <v>481</v>
      </c>
      <c r="C106" s="29" t="s">
        <v>495</v>
      </c>
      <c r="D106" s="30" t="s">
        <v>152</v>
      </c>
      <c r="E106" s="29" t="s">
        <v>513</v>
      </c>
      <c r="F106" s="28" t="s">
        <v>514</v>
      </c>
      <c r="G106" s="29"/>
      <c r="H106" s="31"/>
      <c r="I106" s="32"/>
      <c r="J106" s="32"/>
      <c r="K106" s="33" t="s">
        <v>123</v>
      </c>
      <c r="L106" s="30" t="n">
        <v>1</v>
      </c>
      <c r="M106" s="28" t="s">
        <v>511</v>
      </c>
      <c r="N106" s="28" t="s">
        <v>512</v>
      </c>
      <c r="O106" s="26" t="n">
        <f aca="false">IF(H106="不适用",0,L106)</f>
        <v>1</v>
      </c>
      <c r="P106" s="26" t="n">
        <f aca="false">IF(H106="是",L106,0)</f>
        <v>0</v>
      </c>
    </row>
    <row r="107" customFormat="false" ht="42" hidden="false" customHeight="true" outlineLevel="0" collapsed="false">
      <c r="A107" s="27" t="n">
        <v>102</v>
      </c>
      <c r="B107" s="28" t="s">
        <v>481</v>
      </c>
      <c r="C107" s="29" t="s">
        <v>495</v>
      </c>
      <c r="D107" s="30" t="s">
        <v>152</v>
      </c>
      <c r="E107" s="29" t="s">
        <v>515</v>
      </c>
      <c r="F107" s="28" t="s">
        <v>516</v>
      </c>
      <c r="G107" s="28" t="s">
        <v>517</v>
      </c>
      <c r="H107" s="31"/>
      <c r="I107" s="32"/>
      <c r="J107" s="32"/>
      <c r="K107" s="33" t="s">
        <v>123</v>
      </c>
      <c r="L107" s="30" t="n">
        <v>1</v>
      </c>
      <c r="M107" s="28" t="s">
        <v>511</v>
      </c>
      <c r="N107" s="28" t="s">
        <v>512</v>
      </c>
      <c r="O107" s="26" t="n">
        <f aca="false">IF(H107="不适用",0,L107)</f>
        <v>1</v>
      </c>
      <c r="P107" s="26" t="n">
        <f aca="false">IF(H107="是",L107,0)</f>
        <v>0</v>
      </c>
    </row>
    <row r="108" customFormat="false" ht="42" hidden="false" customHeight="true" outlineLevel="0" collapsed="false">
      <c r="A108" s="27" t="n">
        <v>103</v>
      </c>
      <c r="B108" s="28" t="s">
        <v>481</v>
      </c>
      <c r="C108" s="29" t="s">
        <v>495</v>
      </c>
      <c r="D108" s="30" t="s">
        <v>152</v>
      </c>
      <c r="E108" s="29" t="s">
        <v>518</v>
      </c>
      <c r="F108" s="28" t="s">
        <v>519</v>
      </c>
      <c r="G108" s="29"/>
      <c r="H108" s="31"/>
      <c r="I108" s="32"/>
      <c r="J108" s="32"/>
      <c r="K108" s="33" t="s">
        <v>123</v>
      </c>
      <c r="L108" s="30" t="n">
        <v>1</v>
      </c>
      <c r="M108" s="28" t="s">
        <v>511</v>
      </c>
      <c r="N108" s="28" t="s">
        <v>512</v>
      </c>
      <c r="O108" s="26" t="n">
        <f aca="false">IF(H108="不适用",0,L108)</f>
        <v>1</v>
      </c>
      <c r="P108" s="26" t="n">
        <f aca="false">IF(H108="是",L108,0)</f>
        <v>0</v>
      </c>
    </row>
    <row r="109" customFormat="false" ht="42" hidden="false" customHeight="true" outlineLevel="0" collapsed="false">
      <c r="A109" s="27" t="n">
        <v>104</v>
      </c>
      <c r="B109" s="28" t="s">
        <v>481</v>
      </c>
      <c r="C109" s="29" t="s">
        <v>495</v>
      </c>
      <c r="D109" s="30" t="s">
        <v>152</v>
      </c>
      <c r="E109" s="29" t="s">
        <v>520</v>
      </c>
      <c r="F109" s="28" t="s">
        <v>521</v>
      </c>
      <c r="G109" s="29"/>
      <c r="H109" s="31"/>
      <c r="I109" s="32"/>
      <c r="J109" s="32"/>
      <c r="K109" s="33" t="s">
        <v>123</v>
      </c>
      <c r="L109" s="30" t="n">
        <v>1</v>
      </c>
      <c r="M109" s="28" t="s">
        <v>511</v>
      </c>
      <c r="N109" s="28" t="s">
        <v>512</v>
      </c>
      <c r="O109" s="26" t="n">
        <f aca="false">IF(H109="不适用",0,L109)</f>
        <v>1</v>
      </c>
      <c r="P109" s="26" t="n">
        <f aca="false">IF(H109="是",L109,0)</f>
        <v>0</v>
      </c>
    </row>
    <row r="110" customFormat="false" ht="42" hidden="false" customHeight="true" outlineLevel="0" collapsed="false">
      <c r="A110" s="27" t="n">
        <v>105</v>
      </c>
      <c r="B110" s="28" t="s">
        <v>481</v>
      </c>
      <c r="C110" s="29" t="s">
        <v>495</v>
      </c>
      <c r="D110" s="30" t="s">
        <v>152</v>
      </c>
      <c r="E110" s="29" t="s">
        <v>522</v>
      </c>
      <c r="F110" s="28" t="s">
        <v>523</v>
      </c>
      <c r="G110" s="29"/>
      <c r="H110" s="31"/>
      <c r="I110" s="32"/>
      <c r="J110" s="32"/>
      <c r="K110" s="33" t="s">
        <v>123</v>
      </c>
      <c r="L110" s="30" t="n">
        <v>1</v>
      </c>
      <c r="M110" s="28" t="s">
        <v>511</v>
      </c>
      <c r="N110" s="28" t="s">
        <v>512</v>
      </c>
      <c r="O110" s="26" t="n">
        <f aca="false">IF(H110="不适用",0,L110)</f>
        <v>1</v>
      </c>
      <c r="P110" s="26" t="n">
        <f aca="false">IF(H110="是",L110,0)</f>
        <v>0</v>
      </c>
    </row>
    <row r="111" customFormat="false" ht="42" hidden="false" customHeight="true" outlineLevel="0" collapsed="false">
      <c r="A111" s="27" t="n">
        <v>106</v>
      </c>
      <c r="B111" s="28" t="s">
        <v>481</v>
      </c>
      <c r="C111" s="29" t="s">
        <v>495</v>
      </c>
      <c r="D111" s="30" t="s">
        <v>152</v>
      </c>
      <c r="E111" s="29" t="s">
        <v>524</v>
      </c>
      <c r="F111" s="28" t="s">
        <v>525</v>
      </c>
      <c r="G111" s="29"/>
      <c r="H111" s="31"/>
      <c r="I111" s="32"/>
      <c r="J111" s="32"/>
      <c r="K111" s="33" t="s">
        <v>123</v>
      </c>
      <c r="L111" s="30" t="n">
        <v>1</v>
      </c>
      <c r="M111" s="28" t="s">
        <v>511</v>
      </c>
      <c r="N111" s="28" t="s">
        <v>512</v>
      </c>
      <c r="O111" s="26" t="n">
        <f aca="false">IF(H111="不适用",0,L111)</f>
        <v>1</v>
      </c>
      <c r="P111" s="26" t="n">
        <f aca="false">IF(H111="是",L111,0)</f>
        <v>0</v>
      </c>
    </row>
    <row r="112" customFormat="false" ht="42" hidden="false" customHeight="true" outlineLevel="0" collapsed="false">
      <c r="A112" s="27" t="n">
        <v>107</v>
      </c>
      <c r="B112" s="28" t="s">
        <v>481</v>
      </c>
      <c r="C112" s="29" t="s">
        <v>495</v>
      </c>
      <c r="D112" s="30" t="s">
        <v>152</v>
      </c>
      <c r="E112" s="29" t="s">
        <v>526</v>
      </c>
      <c r="F112" s="28" t="s">
        <v>527</v>
      </c>
      <c r="G112" s="28" t="s">
        <v>528</v>
      </c>
      <c r="H112" s="31"/>
      <c r="I112" s="32"/>
      <c r="J112" s="32"/>
      <c r="K112" s="34" t="s">
        <v>139</v>
      </c>
      <c r="L112" s="30" t="n">
        <v>1</v>
      </c>
      <c r="M112" s="28" t="s">
        <v>511</v>
      </c>
      <c r="N112" s="28" t="s">
        <v>512</v>
      </c>
      <c r="O112" s="26" t="n">
        <f aca="false">IF(H112="不适用",0,L112)</f>
        <v>1</v>
      </c>
      <c r="P112" s="26" t="n">
        <f aca="false">IF(H112="是",L112,0)</f>
        <v>0</v>
      </c>
    </row>
    <row r="113" customFormat="false" ht="42" hidden="false" customHeight="true" outlineLevel="0" collapsed="false">
      <c r="A113" s="27" t="n">
        <v>108</v>
      </c>
      <c r="B113" s="28" t="s">
        <v>481</v>
      </c>
      <c r="C113" s="29" t="s">
        <v>495</v>
      </c>
      <c r="D113" s="30" t="s">
        <v>152</v>
      </c>
      <c r="E113" s="29" t="s">
        <v>529</v>
      </c>
      <c r="F113" s="28" t="s">
        <v>530</v>
      </c>
      <c r="G113" s="28" t="s">
        <v>531</v>
      </c>
      <c r="H113" s="31"/>
      <c r="I113" s="32"/>
      <c r="J113" s="32"/>
      <c r="K113" s="34" t="s">
        <v>139</v>
      </c>
      <c r="L113" s="30" t="n">
        <v>1</v>
      </c>
      <c r="M113" s="28" t="s">
        <v>511</v>
      </c>
      <c r="N113" s="28" t="s">
        <v>512</v>
      </c>
      <c r="O113" s="26" t="n">
        <f aca="false">IF(H113="不适用",0,L113)</f>
        <v>1</v>
      </c>
      <c r="P113" s="26" t="n">
        <f aca="false">IF(H113="是",L113,0)</f>
        <v>0</v>
      </c>
    </row>
    <row r="114" customFormat="false" ht="42" hidden="false" customHeight="true" outlineLevel="0" collapsed="false">
      <c r="A114" s="27" t="n">
        <v>109</v>
      </c>
      <c r="B114" s="28" t="s">
        <v>481</v>
      </c>
      <c r="C114" s="29" t="s">
        <v>495</v>
      </c>
      <c r="D114" s="30" t="s">
        <v>152</v>
      </c>
      <c r="E114" s="29" t="s">
        <v>532</v>
      </c>
      <c r="F114" s="28" t="s">
        <v>533</v>
      </c>
      <c r="G114" s="29"/>
      <c r="H114" s="31"/>
      <c r="I114" s="32"/>
      <c r="J114" s="32"/>
      <c r="K114" s="33" t="s">
        <v>123</v>
      </c>
      <c r="L114" s="30" t="n">
        <v>1</v>
      </c>
      <c r="M114" s="28" t="s">
        <v>511</v>
      </c>
      <c r="N114" s="28" t="s">
        <v>512</v>
      </c>
      <c r="O114" s="26" t="n">
        <f aca="false">IF(H114="不适用",0,L114)</f>
        <v>1</v>
      </c>
      <c r="P114" s="26" t="n">
        <f aca="false">IF(H114="是",L114,0)</f>
        <v>0</v>
      </c>
    </row>
    <row r="115" customFormat="false" ht="42" hidden="false" customHeight="true" outlineLevel="0" collapsed="false">
      <c r="A115" s="27" t="n">
        <v>110</v>
      </c>
      <c r="B115" s="28" t="s">
        <v>481</v>
      </c>
      <c r="C115" s="29" t="s">
        <v>495</v>
      </c>
      <c r="D115" s="30" t="s">
        <v>152</v>
      </c>
      <c r="E115" s="29" t="s">
        <v>534</v>
      </c>
      <c r="F115" s="28" t="s">
        <v>535</v>
      </c>
      <c r="G115" s="28" t="s">
        <v>536</v>
      </c>
      <c r="H115" s="31"/>
      <c r="I115" s="32"/>
      <c r="J115" s="32"/>
      <c r="K115" s="34" t="s">
        <v>139</v>
      </c>
      <c r="L115" s="30" t="n">
        <v>1</v>
      </c>
      <c r="M115" s="28" t="s">
        <v>511</v>
      </c>
      <c r="N115" s="28" t="s">
        <v>512</v>
      </c>
      <c r="O115" s="26" t="n">
        <f aca="false">IF(H115="不适用",0,L115)</f>
        <v>1</v>
      </c>
      <c r="P115" s="26" t="n">
        <f aca="false">IF(H115="是",L115,0)</f>
        <v>0</v>
      </c>
    </row>
    <row r="116" customFormat="false" ht="42" hidden="false" customHeight="true" outlineLevel="0" collapsed="false">
      <c r="A116" s="27" t="n">
        <v>111</v>
      </c>
      <c r="B116" s="28" t="s">
        <v>481</v>
      </c>
      <c r="C116" s="29" t="s">
        <v>495</v>
      </c>
      <c r="D116" s="30" t="s">
        <v>152</v>
      </c>
      <c r="E116" s="29" t="s">
        <v>537</v>
      </c>
      <c r="F116" s="28" t="s">
        <v>538</v>
      </c>
      <c r="G116" s="29"/>
      <c r="H116" s="31"/>
      <c r="I116" s="32"/>
      <c r="J116" s="32"/>
      <c r="K116" s="34" t="s">
        <v>139</v>
      </c>
      <c r="L116" s="30" t="n">
        <v>1</v>
      </c>
      <c r="M116" s="28" t="s">
        <v>511</v>
      </c>
      <c r="N116" s="28" t="s">
        <v>512</v>
      </c>
      <c r="O116" s="26" t="n">
        <f aca="false">IF(H116="不适用",0,L116)</f>
        <v>1</v>
      </c>
      <c r="P116" s="26" t="n">
        <f aca="false">IF(H116="是",L116,0)</f>
        <v>0</v>
      </c>
    </row>
    <row r="117" customFormat="false" ht="42" hidden="false" customHeight="true" outlineLevel="0" collapsed="false">
      <c r="A117" s="27" t="n">
        <v>112</v>
      </c>
      <c r="B117" s="28" t="s">
        <v>481</v>
      </c>
      <c r="C117" s="29" t="s">
        <v>495</v>
      </c>
      <c r="D117" s="30" t="s">
        <v>152</v>
      </c>
      <c r="E117" s="29" t="s">
        <v>539</v>
      </c>
      <c r="F117" s="28" t="s">
        <v>540</v>
      </c>
      <c r="G117" s="29"/>
      <c r="H117" s="31"/>
      <c r="I117" s="32"/>
      <c r="J117" s="32"/>
      <c r="K117" s="34" t="s">
        <v>139</v>
      </c>
      <c r="L117" s="30" t="n">
        <v>1</v>
      </c>
      <c r="M117" s="28" t="s">
        <v>511</v>
      </c>
      <c r="N117" s="28" t="s">
        <v>512</v>
      </c>
      <c r="O117" s="26" t="n">
        <f aca="false">IF(H117="不适用",0,L117)</f>
        <v>1</v>
      </c>
      <c r="P117" s="26" t="n">
        <f aca="false">IF(H117="是",L117,0)</f>
        <v>0</v>
      </c>
    </row>
    <row r="118" customFormat="false" ht="42" hidden="false" customHeight="true" outlineLevel="0" collapsed="false">
      <c r="A118" s="27" t="n">
        <v>113</v>
      </c>
      <c r="B118" s="28" t="s">
        <v>481</v>
      </c>
      <c r="C118" s="29" t="s">
        <v>495</v>
      </c>
      <c r="D118" s="30" t="s">
        <v>152</v>
      </c>
      <c r="E118" s="29" t="s">
        <v>541</v>
      </c>
      <c r="F118" s="28" t="s">
        <v>542</v>
      </c>
      <c r="G118" s="28" t="s">
        <v>543</v>
      </c>
      <c r="H118" s="31"/>
      <c r="I118" s="32"/>
      <c r="J118" s="32"/>
      <c r="K118" s="34" t="s">
        <v>139</v>
      </c>
      <c r="L118" s="30" t="n">
        <v>1</v>
      </c>
      <c r="M118" s="28" t="s">
        <v>511</v>
      </c>
      <c r="N118" s="28" t="s">
        <v>512</v>
      </c>
      <c r="O118" s="26" t="n">
        <f aca="false">IF(H118="不适用",0,L118)</f>
        <v>1</v>
      </c>
      <c r="P118" s="26" t="n">
        <f aca="false">IF(H118="是",L118,0)</f>
        <v>0</v>
      </c>
    </row>
    <row r="119" customFormat="false" ht="42" hidden="false" customHeight="true" outlineLevel="0" collapsed="false">
      <c r="A119" s="27" t="n">
        <v>114</v>
      </c>
      <c r="B119" s="28" t="s">
        <v>481</v>
      </c>
      <c r="C119" s="29" t="s">
        <v>544</v>
      </c>
      <c r="D119" s="30" t="s">
        <v>152</v>
      </c>
      <c r="E119" s="29" t="s">
        <v>545</v>
      </c>
      <c r="F119" s="28" t="s">
        <v>546</v>
      </c>
      <c r="G119" s="28" t="s">
        <v>547</v>
      </c>
      <c r="H119" s="31"/>
      <c r="I119" s="32"/>
      <c r="J119" s="32"/>
      <c r="K119" s="33" t="s">
        <v>123</v>
      </c>
      <c r="L119" s="35" t="n">
        <v>3</v>
      </c>
      <c r="M119" s="28" t="s">
        <v>548</v>
      </c>
      <c r="N119" s="28" t="s">
        <v>549</v>
      </c>
      <c r="O119" s="26" t="n">
        <f aca="false">IF(H119="不适用",0,L119)</f>
        <v>3</v>
      </c>
      <c r="P119" s="26" t="n">
        <f aca="false">IF(H119="是",L119,0)</f>
        <v>0</v>
      </c>
    </row>
    <row r="120" customFormat="false" ht="42" hidden="false" customHeight="true" outlineLevel="0" collapsed="false">
      <c r="A120" s="27" t="n">
        <v>115</v>
      </c>
      <c r="B120" s="28" t="s">
        <v>481</v>
      </c>
      <c r="C120" s="29" t="s">
        <v>285</v>
      </c>
      <c r="D120" s="30" t="s">
        <v>152</v>
      </c>
      <c r="E120" s="29" t="s">
        <v>550</v>
      </c>
      <c r="F120" s="28" t="s">
        <v>551</v>
      </c>
      <c r="G120" s="29"/>
      <c r="H120" s="31"/>
      <c r="I120" s="32"/>
      <c r="J120" s="32"/>
      <c r="K120" s="33" t="s">
        <v>123</v>
      </c>
      <c r="L120" s="30" t="n">
        <v>1</v>
      </c>
      <c r="M120" s="28" t="s">
        <v>552</v>
      </c>
      <c r="N120" s="28" t="s">
        <v>141</v>
      </c>
      <c r="O120" s="26" t="n">
        <f aca="false">IF(H120="不适用",0,L120)</f>
        <v>1</v>
      </c>
      <c r="P120" s="26" t="n">
        <f aca="false">IF(H120="是",L120,0)</f>
        <v>0</v>
      </c>
    </row>
    <row r="121" customFormat="false" ht="42" hidden="false" customHeight="true" outlineLevel="0" collapsed="false">
      <c r="A121" s="27" t="n">
        <v>116</v>
      </c>
      <c r="B121" s="28" t="s">
        <v>481</v>
      </c>
      <c r="C121" s="29" t="s">
        <v>285</v>
      </c>
      <c r="D121" s="30" t="s">
        <v>152</v>
      </c>
      <c r="E121" s="29" t="s">
        <v>553</v>
      </c>
      <c r="F121" s="28" t="s">
        <v>554</v>
      </c>
      <c r="G121" s="28" t="s">
        <v>555</v>
      </c>
      <c r="H121" s="31"/>
      <c r="I121" s="32"/>
      <c r="J121" s="32"/>
      <c r="K121" s="34" t="s">
        <v>139</v>
      </c>
      <c r="L121" s="30" t="n">
        <v>1</v>
      </c>
      <c r="M121" s="28" t="s">
        <v>552</v>
      </c>
      <c r="N121" s="28" t="s">
        <v>141</v>
      </c>
      <c r="O121" s="26" t="n">
        <f aca="false">IF(H121="不适用",0,L121)</f>
        <v>1</v>
      </c>
      <c r="P121" s="26" t="n">
        <f aca="false">IF(H121="是",L121,0)</f>
        <v>0</v>
      </c>
    </row>
    <row r="122" customFormat="false" ht="42" hidden="false" customHeight="true" outlineLevel="0" collapsed="false">
      <c r="A122" s="27" t="n">
        <v>117</v>
      </c>
      <c r="B122" s="28" t="s">
        <v>481</v>
      </c>
      <c r="C122" s="29" t="s">
        <v>285</v>
      </c>
      <c r="D122" s="30" t="s">
        <v>152</v>
      </c>
      <c r="E122" s="29" t="s">
        <v>556</v>
      </c>
      <c r="F122" s="28" t="s">
        <v>557</v>
      </c>
      <c r="G122" s="28" t="s">
        <v>558</v>
      </c>
      <c r="H122" s="31"/>
      <c r="I122" s="32"/>
      <c r="J122" s="32"/>
      <c r="K122" s="34" t="s">
        <v>139</v>
      </c>
      <c r="L122" s="30" t="n">
        <v>1</v>
      </c>
      <c r="M122" s="28" t="s">
        <v>552</v>
      </c>
      <c r="N122" s="28" t="s">
        <v>141</v>
      </c>
      <c r="O122" s="26" t="n">
        <f aca="false">IF(H122="不适用",0,L122)</f>
        <v>1</v>
      </c>
      <c r="P122" s="26" t="n">
        <f aca="false">IF(H122="是",L122,0)</f>
        <v>0</v>
      </c>
    </row>
    <row r="123" customFormat="false" ht="42" hidden="false" customHeight="true" outlineLevel="0" collapsed="false">
      <c r="A123" s="27" t="n">
        <v>118</v>
      </c>
      <c r="B123" s="28" t="s">
        <v>481</v>
      </c>
      <c r="C123" s="29" t="s">
        <v>559</v>
      </c>
      <c r="D123" s="30" t="s">
        <v>152</v>
      </c>
      <c r="E123" s="29" t="s">
        <v>560</v>
      </c>
      <c r="F123" s="28" t="s">
        <v>561</v>
      </c>
      <c r="G123" s="28" t="s">
        <v>562</v>
      </c>
      <c r="H123" s="31"/>
      <c r="I123" s="32"/>
      <c r="J123" s="32"/>
      <c r="K123" s="33" t="s">
        <v>123</v>
      </c>
      <c r="L123" s="30" t="n">
        <v>1</v>
      </c>
      <c r="M123" s="28" t="s">
        <v>563</v>
      </c>
      <c r="N123" s="28" t="s">
        <v>141</v>
      </c>
      <c r="O123" s="26" t="n">
        <f aca="false">IF(H123="不适用",0,L123)</f>
        <v>1</v>
      </c>
      <c r="P123" s="26" t="n">
        <f aca="false">IF(H123="是",L123,0)</f>
        <v>0</v>
      </c>
    </row>
    <row r="124" customFormat="false" ht="42" hidden="false" customHeight="true" outlineLevel="0" collapsed="false">
      <c r="A124" s="27" t="n">
        <v>119</v>
      </c>
      <c r="B124" s="28" t="s">
        <v>481</v>
      </c>
      <c r="C124" s="29" t="s">
        <v>559</v>
      </c>
      <c r="D124" s="30" t="s">
        <v>152</v>
      </c>
      <c r="E124" s="29" t="s">
        <v>564</v>
      </c>
      <c r="F124" s="28" t="s">
        <v>565</v>
      </c>
      <c r="G124" s="28" t="s">
        <v>566</v>
      </c>
      <c r="H124" s="31"/>
      <c r="I124" s="32"/>
      <c r="J124" s="32"/>
      <c r="K124" s="34" t="s">
        <v>139</v>
      </c>
      <c r="L124" s="30" t="n">
        <v>1</v>
      </c>
      <c r="M124" s="28" t="s">
        <v>563</v>
      </c>
      <c r="N124" s="28" t="s">
        <v>141</v>
      </c>
      <c r="O124" s="26" t="n">
        <f aca="false">IF(H124="不适用",0,L124)</f>
        <v>1</v>
      </c>
      <c r="P124" s="26" t="n">
        <f aca="false">IF(H124="是",L124,0)</f>
        <v>0</v>
      </c>
    </row>
    <row r="125" customFormat="false" ht="42" hidden="false" customHeight="true" outlineLevel="0" collapsed="false">
      <c r="A125" s="27" t="n">
        <v>120</v>
      </c>
      <c r="B125" s="28" t="s">
        <v>481</v>
      </c>
      <c r="C125" s="29" t="s">
        <v>559</v>
      </c>
      <c r="D125" s="30" t="s">
        <v>152</v>
      </c>
      <c r="E125" s="29" t="s">
        <v>567</v>
      </c>
      <c r="F125" s="28" t="s">
        <v>568</v>
      </c>
      <c r="G125" s="29"/>
      <c r="H125" s="31"/>
      <c r="I125" s="32"/>
      <c r="J125" s="32"/>
      <c r="K125" s="34" t="s">
        <v>139</v>
      </c>
      <c r="L125" s="30" t="n">
        <v>1</v>
      </c>
      <c r="M125" s="28" t="s">
        <v>563</v>
      </c>
      <c r="N125" s="28" t="s">
        <v>141</v>
      </c>
      <c r="O125" s="26" t="n">
        <f aca="false">IF(H125="不适用",0,L125)</f>
        <v>1</v>
      </c>
      <c r="P125" s="26" t="n">
        <f aca="false">IF(H125="是",L125,0)</f>
        <v>0</v>
      </c>
    </row>
    <row r="126" customFormat="false" ht="42" hidden="false" customHeight="true" outlineLevel="0" collapsed="false">
      <c r="A126" s="27" t="n">
        <v>121</v>
      </c>
      <c r="B126" s="28" t="s">
        <v>481</v>
      </c>
      <c r="C126" s="29" t="s">
        <v>559</v>
      </c>
      <c r="D126" s="30" t="s">
        <v>152</v>
      </c>
      <c r="E126" s="29" t="s">
        <v>569</v>
      </c>
      <c r="F126" s="28" t="s">
        <v>570</v>
      </c>
      <c r="G126" s="28" t="s">
        <v>571</v>
      </c>
      <c r="H126" s="31"/>
      <c r="I126" s="32"/>
      <c r="J126" s="32"/>
      <c r="K126" s="34" t="s">
        <v>139</v>
      </c>
      <c r="L126" s="30" t="n">
        <v>1</v>
      </c>
      <c r="M126" s="28" t="s">
        <v>563</v>
      </c>
      <c r="N126" s="28" t="s">
        <v>141</v>
      </c>
      <c r="O126" s="26" t="n">
        <f aca="false">IF(H126="不适用",0,L126)</f>
        <v>1</v>
      </c>
      <c r="P126" s="26" t="n">
        <f aca="false">IF(H126="是",L126,0)</f>
        <v>0</v>
      </c>
    </row>
    <row r="127" customFormat="false" ht="42" hidden="false" customHeight="true" outlineLevel="0" collapsed="false">
      <c r="A127" s="27" t="n">
        <v>122</v>
      </c>
      <c r="B127" s="28" t="s">
        <v>481</v>
      </c>
      <c r="C127" s="29" t="s">
        <v>559</v>
      </c>
      <c r="D127" s="30" t="s">
        <v>152</v>
      </c>
      <c r="E127" s="29" t="s">
        <v>572</v>
      </c>
      <c r="F127" s="28" t="s">
        <v>573</v>
      </c>
      <c r="G127" s="29"/>
      <c r="H127" s="31"/>
      <c r="I127" s="32"/>
      <c r="J127" s="32"/>
      <c r="K127" s="34" t="s">
        <v>139</v>
      </c>
      <c r="L127" s="30" t="n">
        <v>1</v>
      </c>
      <c r="M127" s="28" t="s">
        <v>563</v>
      </c>
      <c r="N127" s="28" t="s">
        <v>141</v>
      </c>
      <c r="O127" s="26" t="n">
        <f aca="false">IF(H127="不适用",0,L127)</f>
        <v>1</v>
      </c>
      <c r="P127" s="26" t="n">
        <f aca="false">IF(H127="是",L127,0)</f>
        <v>0</v>
      </c>
    </row>
    <row r="128" customFormat="false" ht="42" hidden="false" customHeight="true" outlineLevel="0" collapsed="false">
      <c r="A128" s="27" t="n">
        <v>123</v>
      </c>
      <c r="B128" s="28" t="s">
        <v>481</v>
      </c>
      <c r="C128" s="29" t="s">
        <v>559</v>
      </c>
      <c r="D128" s="30" t="s">
        <v>152</v>
      </c>
      <c r="E128" s="29" t="s">
        <v>574</v>
      </c>
      <c r="F128" s="28" t="s">
        <v>575</v>
      </c>
      <c r="G128" s="29"/>
      <c r="H128" s="31"/>
      <c r="I128" s="32"/>
      <c r="J128" s="32"/>
      <c r="K128" s="34" t="s">
        <v>139</v>
      </c>
      <c r="L128" s="30" t="n">
        <v>1</v>
      </c>
      <c r="M128" s="28" t="s">
        <v>563</v>
      </c>
      <c r="N128" s="28" t="s">
        <v>141</v>
      </c>
      <c r="O128" s="26" t="n">
        <f aca="false">IF(H128="不适用",0,L128)</f>
        <v>1</v>
      </c>
      <c r="P128" s="26" t="n">
        <f aca="false">IF(H128="是",L128,0)</f>
        <v>0</v>
      </c>
    </row>
    <row r="129" customFormat="false" ht="42" hidden="false" customHeight="true" outlineLevel="0" collapsed="false">
      <c r="A129" s="27" t="n">
        <v>124</v>
      </c>
      <c r="B129" s="28" t="s">
        <v>481</v>
      </c>
      <c r="C129" s="29" t="s">
        <v>559</v>
      </c>
      <c r="D129" s="30" t="s">
        <v>152</v>
      </c>
      <c r="E129" s="29" t="s">
        <v>576</v>
      </c>
      <c r="F129" s="28" t="s">
        <v>577</v>
      </c>
      <c r="G129" s="29" t="s">
        <v>578</v>
      </c>
      <c r="H129" s="31"/>
      <c r="I129" s="32"/>
      <c r="J129" s="32"/>
      <c r="K129" s="34" t="s">
        <v>139</v>
      </c>
      <c r="L129" s="30" t="n">
        <v>1</v>
      </c>
      <c r="M129" s="28" t="s">
        <v>563</v>
      </c>
      <c r="N129" s="28" t="s">
        <v>141</v>
      </c>
      <c r="O129" s="26" t="n">
        <f aca="false">IF(H129="不适用",0,L129)</f>
        <v>1</v>
      </c>
      <c r="P129" s="26" t="n">
        <f aca="false">IF(H129="是",L129,0)</f>
        <v>0</v>
      </c>
    </row>
    <row r="130" customFormat="false" ht="42" hidden="false" customHeight="true" outlineLevel="0" collapsed="false">
      <c r="A130" s="27" t="n">
        <v>125</v>
      </c>
      <c r="B130" s="28" t="s">
        <v>481</v>
      </c>
      <c r="C130" s="29" t="s">
        <v>559</v>
      </c>
      <c r="D130" s="30" t="s">
        <v>152</v>
      </c>
      <c r="E130" s="29" t="s">
        <v>579</v>
      </c>
      <c r="F130" s="28" t="s">
        <v>580</v>
      </c>
      <c r="G130" s="28" t="s">
        <v>581</v>
      </c>
      <c r="H130" s="31"/>
      <c r="I130" s="32"/>
      <c r="J130" s="32"/>
      <c r="K130" s="34" t="s">
        <v>139</v>
      </c>
      <c r="L130" s="30" t="n">
        <v>1</v>
      </c>
      <c r="M130" s="28" t="s">
        <v>563</v>
      </c>
      <c r="N130" s="28" t="s">
        <v>141</v>
      </c>
      <c r="O130" s="26" t="n">
        <f aca="false">IF(H130="不适用",0,L130)</f>
        <v>1</v>
      </c>
      <c r="P130" s="26" t="n">
        <f aca="false">IF(H130="是",L130,0)</f>
        <v>0</v>
      </c>
    </row>
    <row r="131" customFormat="false" ht="42" hidden="false" customHeight="true" outlineLevel="0" collapsed="false">
      <c r="A131" s="27" t="n">
        <v>126</v>
      </c>
      <c r="B131" s="28" t="s">
        <v>481</v>
      </c>
      <c r="C131" s="29" t="s">
        <v>559</v>
      </c>
      <c r="D131" s="30" t="s">
        <v>152</v>
      </c>
      <c r="E131" s="29" t="s">
        <v>582</v>
      </c>
      <c r="F131" s="28" t="s">
        <v>583</v>
      </c>
      <c r="G131" s="29"/>
      <c r="H131" s="31"/>
      <c r="I131" s="32"/>
      <c r="J131" s="32"/>
      <c r="K131" s="34" t="s">
        <v>139</v>
      </c>
      <c r="L131" s="30" t="n">
        <v>1</v>
      </c>
      <c r="M131" s="28" t="s">
        <v>563</v>
      </c>
      <c r="N131" s="28" t="s">
        <v>141</v>
      </c>
      <c r="O131" s="26" t="n">
        <f aca="false">IF(H131="不适用",0,L131)</f>
        <v>1</v>
      </c>
      <c r="P131" s="26" t="n">
        <f aca="false">IF(H131="是",L131,0)</f>
        <v>0</v>
      </c>
    </row>
    <row r="132" customFormat="false" ht="42" hidden="false" customHeight="true" outlineLevel="0" collapsed="false">
      <c r="A132" s="27" t="n">
        <v>127</v>
      </c>
      <c r="B132" s="28" t="s">
        <v>481</v>
      </c>
      <c r="C132" s="29" t="s">
        <v>559</v>
      </c>
      <c r="D132" s="30" t="s">
        <v>152</v>
      </c>
      <c r="E132" s="29" t="s">
        <v>584</v>
      </c>
      <c r="F132" s="28" t="s">
        <v>585</v>
      </c>
      <c r="G132" s="28" t="s">
        <v>586</v>
      </c>
      <c r="H132" s="31"/>
      <c r="I132" s="32"/>
      <c r="J132" s="32"/>
      <c r="K132" s="34" t="s">
        <v>139</v>
      </c>
      <c r="L132" s="30" t="n">
        <v>1</v>
      </c>
      <c r="M132" s="28" t="s">
        <v>563</v>
      </c>
      <c r="N132" s="28" t="s">
        <v>141</v>
      </c>
      <c r="O132" s="26" t="n">
        <f aca="false">IF(H132="不适用",0,L132)</f>
        <v>1</v>
      </c>
      <c r="P132" s="26" t="n">
        <f aca="false">IF(H132="是",L132,0)</f>
        <v>0</v>
      </c>
    </row>
    <row r="133" customFormat="false" ht="42" hidden="false" customHeight="true" outlineLevel="0" collapsed="false">
      <c r="A133" s="27" t="n">
        <v>128</v>
      </c>
      <c r="B133" s="28" t="s">
        <v>481</v>
      </c>
      <c r="C133" s="29" t="s">
        <v>559</v>
      </c>
      <c r="D133" s="30" t="s">
        <v>152</v>
      </c>
      <c r="E133" s="29" t="s">
        <v>587</v>
      </c>
      <c r="F133" s="28" t="s">
        <v>588</v>
      </c>
      <c r="G133" s="28" t="s">
        <v>589</v>
      </c>
      <c r="H133" s="31"/>
      <c r="I133" s="32"/>
      <c r="J133" s="32"/>
      <c r="K133" s="34" t="s">
        <v>139</v>
      </c>
      <c r="L133" s="30" t="n">
        <v>1</v>
      </c>
      <c r="M133" s="28" t="s">
        <v>563</v>
      </c>
      <c r="N133" s="28" t="s">
        <v>141</v>
      </c>
      <c r="O133" s="26" t="n">
        <f aca="false">IF(H133="不适用",0,L133)</f>
        <v>1</v>
      </c>
      <c r="P133" s="26" t="n">
        <f aca="false">IF(H133="是",L133,0)</f>
        <v>0</v>
      </c>
    </row>
    <row r="134" customFormat="false" ht="42" hidden="false" customHeight="true" outlineLevel="0" collapsed="false">
      <c r="A134" s="27" t="n">
        <v>129</v>
      </c>
      <c r="B134" s="28" t="s">
        <v>481</v>
      </c>
      <c r="C134" s="29" t="s">
        <v>559</v>
      </c>
      <c r="D134" s="30" t="s">
        <v>152</v>
      </c>
      <c r="E134" s="29" t="s">
        <v>590</v>
      </c>
      <c r="F134" s="28" t="s">
        <v>591</v>
      </c>
      <c r="G134" s="28" t="s">
        <v>592</v>
      </c>
      <c r="H134" s="31"/>
      <c r="I134" s="32"/>
      <c r="J134" s="32"/>
      <c r="K134" s="34" t="s">
        <v>139</v>
      </c>
      <c r="L134" s="30" t="n">
        <v>1</v>
      </c>
      <c r="M134" s="28" t="s">
        <v>563</v>
      </c>
      <c r="N134" s="28" t="s">
        <v>141</v>
      </c>
      <c r="O134" s="26" t="n">
        <f aca="false">IF(H134="不适用",0,L134)</f>
        <v>1</v>
      </c>
      <c r="P134" s="26" t="n">
        <f aca="false">IF(H134="是",L134,0)</f>
        <v>0</v>
      </c>
    </row>
    <row r="135" customFormat="false" ht="42" hidden="false" customHeight="true" outlineLevel="0" collapsed="false">
      <c r="A135" s="27" t="n">
        <v>130</v>
      </c>
      <c r="B135" s="28" t="s">
        <v>481</v>
      </c>
      <c r="C135" s="29" t="s">
        <v>559</v>
      </c>
      <c r="D135" s="30" t="s">
        <v>152</v>
      </c>
      <c r="E135" s="29" t="s">
        <v>593</v>
      </c>
      <c r="F135" s="28" t="s">
        <v>594</v>
      </c>
      <c r="G135" s="28" t="s">
        <v>595</v>
      </c>
      <c r="H135" s="31"/>
      <c r="I135" s="32"/>
      <c r="J135" s="32"/>
      <c r="K135" s="34" t="s">
        <v>139</v>
      </c>
      <c r="L135" s="30" t="n">
        <v>1</v>
      </c>
      <c r="M135" s="28" t="s">
        <v>563</v>
      </c>
      <c r="N135" s="28" t="s">
        <v>141</v>
      </c>
      <c r="O135" s="26" t="n">
        <f aca="false">IF(H135="不适用",0,L135)</f>
        <v>1</v>
      </c>
      <c r="P135" s="26" t="n">
        <f aca="false">IF(H135="是",L135,0)</f>
        <v>0</v>
      </c>
    </row>
    <row r="136" customFormat="false" ht="42" hidden="false" customHeight="true" outlineLevel="0" collapsed="false">
      <c r="A136" s="36" t="n">
        <v>131</v>
      </c>
      <c r="B136" s="37" t="s">
        <v>596</v>
      </c>
      <c r="C136" s="38" t="s">
        <v>597</v>
      </c>
      <c r="D136" s="39" t="s">
        <v>135</v>
      </c>
      <c r="E136" s="38" t="s">
        <v>598</v>
      </c>
      <c r="F136" s="37" t="s">
        <v>599</v>
      </c>
      <c r="G136" s="37" t="s">
        <v>600</v>
      </c>
      <c r="H136" s="31"/>
      <c r="I136" s="32"/>
      <c r="J136" s="32"/>
      <c r="K136" s="41" t="s">
        <v>123</v>
      </c>
      <c r="L136" s="43" t="n">
        <v>3</v>
      </c>
      <c r="M136" s="37" t="s">
        <v>601</v>
      </c>
      <c r="N136" s="37" t="s">
        <v>602</v>
      </c>
      <c r="O136" s="26" t="n">
        <f aca="false">IF(H136="不适用",0,L136)</f>
        <v>3</v>
      </c>
      <c r="P136" s="26" t="n">
        <f aca="false">IF(H136="是",L136,0)</f>
        <v>0</v>
      </c>
    </row>
    <row r="137" customFormat="false" ht="42" hidden="false" customHeight="true" outlineLevel="0" collapsed="false">
      <c r="A137" s="36" t="n">
        <v>132</v>
      </c>
      <c r="B137" s="37" t="s">
        <v>596</v>
      </c>
      <c r="C137" s="38" t="s">
        <v>603</v>
      </c>
      <c r="D137" s="39" t="s">
        <v>152</v>
      </c>
      <c r="E137" s="38" t="s">
        <v>604</v>
      </c>
      <c r="F137" s="37" t="s">
        <v>605</v>
      </c>
      <c r="G137" s="37" t="s">
        <v>606</v>
      </c>
      <c r="H137" s="31"/>
      <c r="I137" s="32"/>
      <c r="J137" s="32"/>
      <c r="K137" s="36" t="s">
        <v>156</v>
      </c>
      <c r="L137" s="39" t="n">
        <v>1</v>
      </c>
      <c r="M137" s="37" t="s">
        <v>607</v>
      </c>
      <c r="N137" s="37" t="s">
        <v>608</v>
      </c>
      <c r="O137" s="26" t="n">
        <f aca="false">IF(H137="不适用",0,L137)</f>
        <v>1</v>
      </c>
      <c r="P137" s="26" t="n">
        <f aca="false">IF(H137="是",L137,0)</f>
        <v>0</v>
      </c>
    </row>
    <row r="138" customFormat="false" ht="42" hidden="false" customHeight="true" outlineLevel="0" collapsed="false">
      <c r="A138" s="36" t="n">
        <v>133</v>
      </c>
      <c r="B138" s="37" t="s">
        <v>596</v>
      </c>
      <c r="C138" s="38" t="s">
        <v>609</v>
      </c>
      <c r="D138" s="39" t="s">
        <v>152</v>
      </c>
      <c r="E138" s="38" t="s">
        <v>610</v>
      </c>
      <c r="F138" s="37" t="s">
        <v>611</v>
      </c>
      <c r="G138" s="37" t="s">
        <v>612</v>
      </c>
      <c r="H138" s="31"/>
      <c r="I138" s="32"/>
      <c r="J138" s="32"/>
      <c r="K138" s="36" t="s">
        <v>156</v>
      </c>
      <c r="L138" s="39" t="n">
        <v>1</v>
      </c>
      <c r="M138" s="37" t="s">
        <v>613</v>
      </c>
      <c r="N138" s="37" t="s">
        <v>614</v>
      </c>
      <c r="O138" s="26" t="n">
        <f aca="false">IF(H138="不适用",0,L138)</f>
        <v>1</v>
      </c>
      <c r="P138" s="26" t="n">
        <f aca="false">IF(H138="是",L138,0)</f>
        <v>0</v>
      </c>
    </row>
  </sheetData>
  <dataValidations count="1">
    <dataValidation allowBlank="true" error="请选择 是 / 否 / 不适用" errorStyle="stop" errorTitle="作答" operator="between" showDropDown="false" showErrorMessage="false" showInputMessage="false" sqref="H6:H138" type="list">
      <formula1>"是,否,不适用"</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0"/>
    <col collapsed="false" customWidth="true" hidden="false" outlineLevel="0" max="4" min="4" style="0" width="12"/>
    <col collapsed="false" customWidth="true" hidden="false" outlineLevel="0" max="5" min="5" style="0" width="14"/>
    <col collapsed="false" customWidth="true" hidden="false" outlineLevel="0" max="6" min="6" style="0" width="12"/>
  </cols>
  <sheetData>
    <row r="2" customFormat="false" ht="25.5" hidden="false" customHeight="true" outlineLevel="0" collapsed="false">
      <c r="B2" s="45" t="s">
        <v>615</v>
      </c>
      <c r="C2" s="45"/>
      <c r="D2" s="45"/>
      <c r="E2" s="45"/>
      <c r="F2" s="45"/>
      <c r="G2" s="45"/>
    </row>
    <row r="3" customFormat="false" ht="15" hidden="false" customHeight="false" outlineLevel="0" collapsed="false">
      <c r="B3" s="46" t="s">
        <v>616</v>
      </c>
      <c r="C3" s="46"/>
      <c r="D3" s="46"/>
      <c r="E3" s="46"/>
      <c r="F3" s="46"/>
      <c r="G3" s="46"/>
    </row>
    <row r="5" customFormat="false" ht="35.05" hidden="false" customHeight="false" outlineLevel="0" collapsed="false">
      <c r="B5" s="11" t="s">
        <v>617</v>
      </c>
      <c r="C5" s="11" t="s">
        <v>618</v>
      </c>
      <c r="D5" s="11" t="s">
        <v>619</v>
      </c>
      <c r="E5" s="11" t="s">
        <v>620</v>
      </c>
      <c r="F5" s="11" t="s">
        <v>621</v>
      </c>
      <c r="G5" s="47" t="s">
        <v>622</v>
      </c>
    </row>
    <row r="6" customFormat="false" ht="15" hidden="false" customHeight="false" outlineLevel="0" collapsed="false">
      <c r="B6" s="48" t="s">
        <v>623</v>
      </c>
      <c r="C6" s="30" t="n">
        <f aca="false">COUNTIF('问卷正文 Questionnaire'!$B$6:$B$138,B6&amp;"*")</f>
        <v>8</v>
      </c>
      <c r="D6" s="30" t="n">
        <f aca="false">IF(SUMIFS('问卷正文 Questionnaire'!$O$6:$O$138,'问卷正文 Questionnaire'!$B$6:$B$138,B6&amp;"*")=0,"—",ROUND(SUMIFS('问卷正文 Questionnaire'!$P$6:$P$138,'问卷正文 Questionnaire'!$B$6:$B$138,B6&amp;"*")/SUMIFS('问卷正文 Questionnaire'!$O$6:$O$138,'问卷正文 Questionnaire'!$B$6:$B$138,B6&amp;"*")*100,1))</f>
        <v>0</v>
      </c>
      <c r="E6" s="30" t="n">
        <f aca="false">SUMIFS('问卷正文 Questionnaire'!$O$6:$O$138,'问卷正文 Questionnaire'!$B$6:$B$138,B6&amp;"*")</f>
        <v>12</v>
      </c>
      <c r="F6" s="30" t="n">
        <f aca="false">COUNTIFS('问卷正文 Questionnaire'!$B$6:$B$138,B6&amp;"*",'问卷正文 Questionnaire'!$K$6:$K$138,"R")</f>
        <v>4</v>
      </c>
      <c r="G6" s="30" t="n">
        <f aca="false">COUNTIFS('问卷正文 Questionnaire'!$B$6:$B$138,B6&amp;"*",'问卷正文 Questionnaire'!$K$6:$K$138,"R",'问卷正文 Questionnaire'!$H$6:$H$138,"否")</f>
        <v>0</v>
      </c>
    </row>
    <row r="7" customFormat="false" ht="15" hidden="false" customHeight="false" outlineLevel="0" collapsed="false">
      <c r="B7" s="49" t="s">
        <v>624</v>
      </c>
      <c r="C7" s="39" t="n">
        <f aca="false">COUNTIF('问卷正文 Questionnaire'!$B$6:$B$138,B7&amp;"*")</f>
        <v>38</v>
      </c>
      <c r="D7" s="39" t="n">
        <f aca="false">IF(SUMIFS('问卷正文 Questionnaire'!$O$6:$O$138,'问卷正文 Questionnaire'!$B$6:$B$138,B7&amp;"*")=0,"—",ROUND(SUMIFS('问卷正文 Questionnaire'!$P$6:$P$138,'问卷正文 Questionnaire'!$B$6:$B$138,B7&amp;"*")/SUMIFS('问卷正文 Questionnaire'!$O$6:$O$138,'问卷正文 Questionnaire'!$B$6:$B$138,B7&amp;"*")*100,1))</f>
        <v>0</v>
      </c>
      <c r="E7" s="39" t="n">
        <f aca="false">SUMIFS('问卷正文 Questionnaire'!$O$6:$O$138,'问卷正文 Questionnaire'!$B$6:$B$138,B7&amp;"*")</f>
        <v>40</v>
      </c>
      <c r="F7" s="39" t="n">
        <f aca="false">COUNTIFS('问卷正文 Questionnaire'!$B$6:$B$138,B7&amp;"*",'问卷正文 Questionnaire'!$K$6:$K$138,"R")</f>
        <v>6</v>
      </c>
      <c r="G7" s="39" t="n">
        <f aca="false">COUNTIFS('问卷正文 Questionnaire'!$B$6:$B$138,B7&amp;"*",'问卷正文 Questionnaire'!$K$6:$K$138,"R",'问卷正文 Questionnaire'!$H$6:$H$138,"否")</f>
        <v>0</v>
      </c>
    </row>
    <row r="8" customFormat="false" ht="15" hidden="false" customHeight="false" outlineLevel="0" collapsed="false">
      <c r="B8" s="48" t="s">
        <v>625</v>
      </c>
      <c r="C8" s="30" t="n">
        <f aca="false">COUNTIF('问卷正文 Questionnaire'!$B$6:$B$138,B8&amp;"*")</f>
        <v>29</v>
      </c>
      <c r="D8" s="30" t="n">
        <f aca="false">IF(SUMIFS('问卷正文 Questionnaire'!$O$6:$O$138,'问卷正文 Questionnaire'!$B$6:$B$138,B8&amp;"*")=0,"—",ROUND(SUMIFS('问卷正文 Questionnaire'!$P$6:$P$138,'问卷正文 Questionnaire'!$B$6:$B$138,B8&amp;"*")/SUMIFS('问卷正文 Questionnaire'!$O$6:$O$138,'问卷正文 Questionnaire'!$B$6:$B$138,B8&amp;"*")*100,1))</f>
        <v>0</v>
      </c>
      <c r="E8" s="30" t="n">
        <f aca="false">SUMIFS('问卷正文 Questionnaire'!$O$6:$O$138,'问卷正文 Questionnaire'!$B$6:$B$138,B8&amp;"*")</f>
        <v>29</v>
      </c>
      <c r="F8" s="30" t="n">
        <f aca="false">COUNTIFS('问卷正文 Questionnaire'!$B$6:$B$138,B8&amp;"*",'问卷正文 Questionnaire'!$K$6:$K$138,"R")</f>
        <v>1</v>
      </c>
      <c r="G8" s="30" t="n">
        <f aca="false">COUNTIFS('问卷正文 Questionnaire'!$B$6:$B$138,B8&amp;"*",'问卷正文 Questionnaire'!$K$6:$K$138,"R",'问卷正文 Questionnaire'!$H$6:$H$138,"否")</f>
        <v>0</v>
      </c>
    </row>
    <row r="9" customFormat="false" ht="15" hidden="false" customHeight="false" outlineLevel="0" collapsed="false">
      <c r="B9" s="49" t="s">
        <v>626</v>
      </c>
      <c r="C9" s="39" t="n">
        <f aca="false">COUNTIF('问卷正文 Questionnaire'!$B$6:$B$138,B9&amp;"*")</f>
        <v>17</v>
      </c>
      <c r="D9" s="39" t="n">
        <f aca="false">IF(SUMIFS('问卷正文 Questionnaire'!$O$6:$O$138,'问卷正文 Questionnaire'!$B$6:$B$138,B9&amp;"*")=0,"—",ROUND(SUMIFS('问卷正文 Questionnaire'!$P$6:$P$138,'问卷正文 Questionnaire'!$B$6:$B$138,B9&amp;"*")/SUMIFS('问卷正文 Questionnaire'!$O$6:$O$138,'问卷正文 Questionnaire'!$B$6:$B$138,B9&amp;"*")*100,1))</f>
        <v>0</v>
      </c>
      <c r="E9" s="39" t="n">
        <f aca="false">SUMIFS('问卷正文 Questionnaire'!$O$6:$O$138,'问卷正文 Questionnaire'!$B$6:$B$138,B9&amp;"*")</f>
        <v>47</v>
      </c>
      <c r="F9" s="39" t="n">
        <f aca="false">COUNTIFS('问卷正文 Questionnaire'!$B$6:$B$138,B9&amp;"*",'问卷正文 Questionnaire'!$K$6:$K$138,"R")</f>
        <v>4</v>
      </c>
      <c r="G9" s="39" t="n">
        <f aca="false">COUNTIFS('问卷正文 Questionnaire'!$B$6:$B$138,B9&amp;"*",'问卷正文 Questionnaire'!$K$6:$K$138,"R",'问卷正文 Questionnaire'!$H$6:$H$138,"否")</f>
        <v>0</v>
      </c>
    </row>
    <row r="10" customFormat="false" ht="15" hidden="false" customHeight="false" outlineLevel="0" collapsed="false">
      <c r="B10" s="48" t="s">
        <v>627</v>
      </c>
      <c r="C10" s="30" t="n">
        <f aca="false">COUNTIF('问卷正文 Questionnaire'!$B$6:$B$138,B10&amp;"*")</f>
        <v>38</v>
      </c>
      <c r="D10" s="30" t="n">
        <f aca="false">IF(SUMIFS('问卷正文 Questionnaire'!$O$6:$O$138,'问卷正文 Questionnaire'!$B$6:$B$138,B10&amp;"*")=0,"—",ROUND(SUMIFS('问卷正文 Questionnaire'!$P$6:$P$138,'问卷正文 Questionnaire'!$B$6:$B$138,B10&amp;"*")/SUMIFS('问卷正文 Questionnaire'!$O$6:$O$138,'问卷正文 Questionnaire'!$B$6:$B$138,B10&amp;"*")*100,1))</f>
        <v>0</v>
      </c>
      <c r="E10" s="30" t="n">
        <f aca="false">SUMIFS('问卷正文 Questionnaire'!$O$6:$O$138,'问卷正文 Questionnaire'!$B$6:$B$138,B10&amp;"*")</f>
        <v>40</v>
      </c>
      <c r="F10" s="30" t="n">
        <f aca="false">COUNTIFS('问卷正文 Questionnaire'!$B$6:$B$138,B10&amp;"*",'问卷正文 Questionnaire'!$K$6:$K$138,"R")</f>
        <v>12</v>
      </c>
      <c r="G10" s="30" t="n">
        <f aca="false">COUNTIFS('问卷正文 Questionnaire'!$B$6:$B$138,B10&amp;"*",'问卷正文 Questionnaire'!$K$6:$K$138,"R",'问卷正文 Questionnaire'!$H$6:$H$138,"否")</f>
        <v>0</v>
      </c>
    </row>
    <row r="11" customFormat="false" ht="15" hidden="false" customHeight="false" outlineLevel="0" collapsed="false">
      <c r="B11" s="49" t="s">
        <v>628</v>
      </c>
      <c r="C11" s="39" t="n">
        <f aca="false">COUNTIF('问卷正文 Questionnaire'!$B$6:$B$138,B11&amp;"*")</f>
        <v>3</v>
      </c>
      <c r="D11" s="39" t="n">
        <f aca="false">IF(SUMIFS('问卷正文 Questionnaire'!$O$6:$O$138,'问卷正文 Questionnaire'!$B$6:$B$138,B11&amp;"*")=0,"—",ROUND(SUMIFS('问卷正文 Questionnaire'!$P$6:$P$138,'问卷正文 Questionnaire'!$B$6:$B$138,B11&amp;"*")/SUMIFS('问卷正文 Questionnaire'!$O$6:$O$138,'问卷正文 Questionnaire'!$B$6:$B$138,B11&amp;"*")*100,1))</f>
        <v>0</v>
      </c>
      <c r="E11" s="39" t="n">
        <f aca="false">SUMIFS('问卷正文 Questionnaire'!$O$6:$O$138,'问卷正文 Questionnaire'!$B$6:$B$138,B11&amp;"*")</f>
        <v>5</v>
      </c>
      <c r="F11" s="39" t="n">
        <f aca="false">COUNTIFS('问卷正文 Questionnaire'!$B$6:$B$138,B11&amp;"*",'问卷正文 Questionnaire'!$K$6:$K$138,"R")</f>
        <v>1</v>
      </c>
      <c r="G11" s="39" t="n">
        <f aca="false">COUNTIFS('问卷正文 Questionnaire'!$B$6:$B$138,B11&amp;"*",'问卷正文 Questionnaire'!$K$6:$K$138,"R",'问卷正文 Questionnaire'!$H$6:$H$138,"否")</f>
        <v>0</v>
      </c>
    </row>
    <row r="12" customFormat="false" ht="15" hidden="false" customHeight="false" outlineLevel="0" collapsed="false">
      <c r="B12" s="50" t="s">
        <v>629</v>
      </c>
      <c r="C12" s="51" t="n">
        <f aca="false">COUNTA('问卷正文 Questionnaire'!$A$6:$A$138)</f>
        <v>133</v>
      </c>
      <c r="D12" s="51" t="n">
        <f aca="false">IF(SUM('问卷正文 Questionnaire'!$O$6:$O$138)=0,"—",ROUND(SUM('问卷正文 Questionnaire'!$P$6:$P$138)/SUM('问卷正文 Questionnaire'!$O$6:$O$138)*100,1))</f>
        <v>0</v>
      </c>
      <c r="E12" s="51" t="n">
        <f aca="false">SUM('问卷正文 Questionnaire'!$O$6:$O$138)</f>
        <v>173</v>
      </c>
      <c r="F12" s="51" t="n">
        <f aca="false">COUNTIF('问卷正文 Questionnaire'!$K$6:$K$138,"R")</f>
        <v>28</v>
      </c>
      <c r="G12" s="51" t="n">
        <f aca="false">COUNTIFS('问卷正文 Questionnaire'!$K$6:$K$138,"R",'问卷正文 Questionnaire'!$H$6:$H$138,"否")</f>
        <v>0</v>
      </c>
    </row>
    <row r="14" customFormat="false" ht="24" hidden="false" customHeight="true" outlineLevel="0" collapsed="false">
      <c r="B14" s="52" t="str">
        <f aca="false">IF(G12&gt;0,"⚠ 存在 "&amp;G12&amp;" 项最低要求(R)未达标 —— 未过最低门槛，须优先整改。 Below-minimum: not passed.","✓ 所有最低要求(R)均已满足。 All Requirements met.")</f>
        <v>✓ 所有最低要求(R)均已满足。 All Requirements met.</v>
      </c>
      <c r="C14" s="52"/>
      <c r="D14" s="52"/>
      <c r="E14" s="52"/>
      <c r="F14" s="52"/>
      <c r="G14" s="52"/>
    </row>
    <row r="16" customFormat="false" ht="17.15" hidden="false" customHeight="false" outlineLevel="0" collapsed="false">
      <c r="B16" s="53" t="s">
        <v>630</v>
      </c>
    </row>
    <row r="17" customFormat="false" ht="15" hidden="false" customHeight="false" outlineLevel="0" collapsed="false">
      <c r="B17" s="6" t="s">
        <v>631</v>
      </c>
      <c r="D17" s="54" t="n">
        <f aca="false">COUNTBLANK('问卷正文 Questionnaire'!$H$6:$H$138)</f>
        <v>133</v>
      </c>
    </row>
    <row r="18" customFormat="false" ht="24.6" hidden="false" customHeight="false" outlineLevel="0" collapsed="false">
      <c r="B18" s="6" t="s">
        <v>632</v>
      </c>
      <c r="D18" s="54" t="n">
        <f aca="false">SUMPRODUCT(('问卷正文 Questionnaire'!$H$6:$H$138="是")*('问卷正文 Questionnaire'!$I$6:$I$138=""))</f>
        <v>0</v>
      </c>
    </row>
    <row r="19" customFormat="false" ht="24.6" hidden="false" customHeight="false" outlineLevel="0" collapsed="false">
      <c r="B19" s="6" t="s">
        <v>633</v>
      </c>
      <c r="D19" s="54" t="n">
        <f aca="false">COUNTIFS('问卷正文 Questionnaire'!$K$6:$K$138,"R",'问卷正文 Questionnaire'!$H$6:$H$138,"否")</f>
        <v>0</v>
      </c>
    </row>
  </sheetData>
  <mergeCells count="3">
    <mergeCell ref="B2:G2"/>
    <mergeCell ref="B3:G3"/>
    <mergeCell ref="B14:G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4" min="3" style="0" width="10"/>
    <col collapsed="false" customWidth="true" hidden="false" outlineLevel="0" max="5" min="5" style="0" width="40"/>
  </cols>
  <sheetData>
    <row r="1" customFormat="false" ht="15" hidden="false" customHeight="false" outlineLevel="0" collapsed="false">
      <c r="A1" s="11" t="s">
        <v>634</v>
      </c>
      <c r="B1" s="11" t="s">
        <v>617</v>
      </c>
      <c r="C1" s="11" t="s">
        <v>635</v>
      </c>
      <c r="D1" s="11" t="s">
        <v>636</v>
      </c>
      <c r="E1" s="11" t="s">
        <v>637</v>
      </c>
    </row>
    <row r="2" customFormat="false" ht="25.35" hidden="false" customHeight="false" outlineLevel="0" collapsed="false">
      <c r="A2" s="55" t="n">
        <v>1</v>
      </c>
      <c r="B2" s="56" t="s">
        <v>126</v>
      </c>
      <c r="C2" s="55" t="n">
        <v>1</v>
      </c>
      <c r="D2" s="55" t="s">
        <v>123</v>
      </c>
      <c r="E2" s="57" t="s">
        <v>638</v>
      </c>
    </row>
    <row r="3" customFormat="false" ht="25.35" hidden="false" customHeight="false" outlineLevel="0" collapsed="false">
      <c r="A3" s="55" t="n">
        <v>2</v>
      </c>
      <c r="B3" s="56" t="s">
        <v>126</v>
      </c>
      <c r="C3" s="55" t="n">
        <v>1</v>
      </c>
      <c r="D3" s="58" t="s">
        <v>139</v>
      </c>
      <c r="E3" s="57" t="s">
        <v>639</v>
      </c>
    </row>
    <row r="4" customFormat="false" ht="37.3" hidden="false" customHeight="false" outlineLevel="0" collapsed="false">
      <c r="A4" s="55" t="n">
        <v>3</v>
      </c>
      <c r="B4" s="56" t="s">
        <v>126</v>
      </c>
      <c r="C4" s="55" t="n">
        <v>3</v>
      </c>
      <c r="D4" s="55" t="s">
        <v>123</v>
      </c>
      <c r="E4" s="57" t="s">
        <v>640</v>
      </c>
    </row>
    <row r="5" customFormat="false" ht="25.35" hidden="false" customHeight="false" outlineLevel="0" collapsed="false">
      <c r="A5" s="55" t="n">
        <v>4</v>
      </c>
      <c r="B5" s="56" t="s">
        <v>126</v>
      </c>
      <c r="C5" s="55" t="n">
        <v>1</v>
      </c>
      <c r="D5" s="58" t="s">
        <v>139</v>
      </c>
      <c r="E5" s="57" t="s">
        <v>148</v>
      </c>
    </row>
    <row r="6" customFormat="false" ht="25.35" hidden="false" customHeight="false" outlineLevel="0" collapsed="false">
      <c r="A6" s="55" t="n">
        <v>5</v>
      </c>
      <c r="B6" s="56" t="s">
        <v>126</v>
      </c>
      <c r="C6" s="55" t="n">
        <v>1</v>
      </c>
      <c r="D6" s="55" t="s">
        <v>156</v>
      </c>
      <c r="E6" s="57" t="s">
        <v>641</v>
      </c>
    </row>
    <row r="7" customFormat="false" ht="25.35" hidden="false" customHeight="false" outlineLevel="0" collapsed="false">
      <c r="A7" s="55" t="n">
        <v>6</v>
      </c>
      <c r="B7" s="56" t="s">
        <v>126</v>
      </c>
      <c r="C7" s="55" t="n">
        <v>1</v>
      </c>
      <c r="D7" s="58" t="s">
        <v>139</v>
      </c>
      <c r="E7" s="57" t="s">
        <v>159</v>
      </c>
    </row>
    <row r="8" customFormat="false" ht="25.35" hidden="false" customHeight="false" outlineLevel="0" collapsed="false">
      <c r="A8" s="55" t="n">
        <v>7</v>
      </c>
      <c r="B8" s="56" t="s">
        <v>126</v>
      </c>
      <c r="C8" s="55" t="n">
        <v>1</v>
      </c>
      <c r="D8" s="55" t="s">
        <v>123</v>
      </c>
      <c r="E8" s="57" t="s">
        <v>642</v>
      </c>
    </row>
    <row r="9" customFormat="false" ht="37.3" hidden="false" customHeight="false" outlineLevel="0" collapsed="false">
      <c r="A9" s="55" t="n">
        <v>8</v>
      </c>
      <c r="B9" s="56" t="s">
        <v>126</v>
      </c>
      <c r="C9" s="55" t="n">
        <v>3</v>
      </c>
      <c r="D9" s="55" t="s">
        <v>123</v>
      </c>
      <c r="E9" s="57" t="s">
        <v>643</v>
      </c>
    </row>
    <row r="10" customFormat="false" ht="25.35" hidden="false" customHeight="false" outlineLevel="0" collapsed="false">
      <c r="A10" s="55" t="n">
        <v>9</v>
      </c>
      <c r="B10" s="56" t="s">
        <v>175</v>
      </c>
      <c r="C10" s="55" t="n">
        <v>1</v>
      </c>
      <c r="D10" s="58" t="s">
        <v>139</v>
      </c>
      <c r="E10" s="57" t="s">
        <v>177</v>
      </c>
    </row>
    <row r="11" customFormat="false" ht="15" hidden="false" customHeight="false" outlineLevel="0" collapsed="false">
      <c r="A11" s="55" t="n">
        <v>10</v>
      </c>
      <c r="B11" s="56" t="s">
        <v>175</v>
      </c>
      <c r="C11" s="55" t="n">
        <v>1</v>
      </c>
      <c r="D11" s="55" t="s">
        <v>123</v>
      </c>
      <c r="E11" s="57" t="s">
        <v>644</v>
      </c>
    </row>
    <row r="12" customFormat="false" ht="25.35" hidden="false" customHeight="false" outlineLevel="0" collapsed="false">
      <c r="A12" s="55" t="n">
        <v>11</v>
      </c>
      <c r="B12" s="56" t="s">
        <v>175</v>
      </c>
      <c r="C12" s="55" t="n">
        <v>1</v>
      </c>
      <c r="D12" s="55" t="s">
        <v>123</v>
      </c>
      <c r="E12" s="57" t="s">
        <v>184</v>
      </c>
    </row>
    <row r="13" customFormat="false" ht="15" hidden="false" customHeight="false" outlineLevel="0" collapsed="false">
      <c r="A13" s="55" t="n">
        <v>12</v>
      </c>
      <c r="B13" s="56" t="s">
        <v>175</v>
      </c>
      <c r="C13" s="55" t="n">
        <v>1</v>
      </c>
      <c r="D13" s="55" t="s">
        <v>123</v>
      </c>
      <c r="E13" s="57" t="s">
        <v>186</v>
      </c>
    </row>
    <row r="14" customFormat="false" ht="17.15" hidden="false" customHeight="false" outlineLevel="0" collapsed="false">
      <c r="A14" s="55" t="n">
        <v>13</v>
      </c>
      <c r="B14" s="56" t="s">
        <v>175</v>
      </c>
      <c r="C14" s="55" t="n">
        <v>1</v>
      </c>
      <c r="D14" s="58" t="s">
        <v>139</v>
      </c>
      <c r="E14" s="57" t="s">
        <v>189</v>
      </c>
    </row>
    <row r="15" customFormat="false" ht="25.35" hidden="false" customHeight="false" outlineLevel="0" collapsed="false">
      <c r="A15" s="55" t="n">
        <v>14</v>
      </c>
      <c r="B15" s="56" t="s">
        <v>175</v>
      </c>
      <c r="C15" s="55" t="n">
        <v>1</v>
      </c>
      <c r="D15" s="55" t="s">
        <v>156</v>
      </c>
      <c r="E15" s="57" t="s">
        <v>645</v>
      </c>
    </row>
    <row r="16" customFormat="false" ht="25.35" hidden="false" customHeight="false" outlineLevel="0" collapsed="false">
      <c r="A16" s="55" t="n">
        <v>15</v>
      </c>
      <c r="B16" s="56" t="s">
        <v>175</v>
      </c>
      <c r="C16" s="55" t="n">
        <v>1</v>
      </c>
      <c r="D16" s="55" t="s">
        <v>156</v>
      </c>
      <c r="E16" s="57" t="s">
        <v>646</v>
      </c>
    </row>
    <row r="17" customFormat="false" ht="17.15" hidden="false" customHeight="false" outlineLevel="0" collapsed="false">
      <c r="A17" s="55" t="n">
        <v>16</v>
      </c>
      <c r="B17" s="56" t="s">
        <v>175</v>
      </c>
      <c r="C17" s="55" t="n">
        <v>1</v>
      </c>
      <c r="D17" s="58" t="s">
        <v>139</v>
      </c>
      <c r="E17" s="57" t="s">
        <v>202</v>
      </c>
    </row>
    <row r="18" customFormat="false" ht="25.35" hidden="false" customHeight="false" outlineLevel="0" collapsed="false">
      <c r="A18" s="55" t="n">
        <v>17</v>
      </c>
      <c r="B18" s="56" t="s">
        <v>175</v>
      </c>
      <c r="C18" s="55" t="n">
        <v>1</v>
      </c>
      <c r="D18" s="58" t="s">
        <v>139</v>
      </c>
      <c r="E18" s="57" t="s">
        <v>206</v>
      </c>
    </row>
    <row r="19" customFormat="false" ht="25.35" hidden="false" customHeight="false" outlineLevel="0" collapsed="false">
      <c r="A19" s="55" t="n">
        <v>18</v>
      </c>
      <c r="B19" s="56" t="s">
        <v>175</v>
      </c>
      <c r="C19" s="55" t="n">
        <v>1</v>
      </c>
      <c r="D19" s="58" t="s">
        <v>139</v>
      </c>
      <c r="E19" s="57" t="s">
        <v>647</v>
      </c>
    </row>
    <row r="20" customFormat="false" ht="25.35" hidden="false" customHeight="false" outlineLevel="0" collapsed="false">
      <c r="A20" s="55" t="n">
        <v>19</v>
      </c>
      <c r="B20" s="56" t="s">
        <v>175</v>
      </c>
      <c r="C20" s="55" t="n">
        <v>1</v>
      </c>
      <c r="D20" s="55" t="s">
        <v>123</v>
      </c>
      <c r="E20" s="57" t="s">
        <v>648</v>
      </c>
    </row>
    <row r="21" customFormat="false" ht="25.35" hidden="false" customHeight="false" outlineLevel="0" collapsed="false">
      <c r="A21" s="55" t="n">
        <v>20</v>
      </c>
      <c r="B21" s="56" t="s">
        <v>175</v>
      </c>
      <c r="C21" s="55" t="n">
        <v>1</v>
      </c>
      <c r="D21" s="55" t="s">
        <v>123</v>
      </c>
      <c r="E21" s="57" t="s">
        <v>649</v>
      </c>
    </row>
    <row r="22" customFormat="false" ht="25.35" hidden="false" customHeight="false" outlineLevel="0" collapsed="false">
      <c r="A22" s="55" t="n">
        <v>21</v>
      </c>
      <c r="B22" s="56" t="s">
        <v>175</v>
      </c>
      <c r="C22" s="55" t="n">
        <v>1</v>
      </c>
      <c r="D22" s="58" t="s">
        <v>139</v>
      </c>
      <c r="E22" s="57" t="s">
        <v>650</v>
      </c>
    </row>
    <row r="23" customFormat="false" ht="25.35" hidden="false" customHeight="false" outlineLevel="0" collapsed="false">
      <c r="A23" s="55" t="n">
        <v>22</v>
      </c>
      <c r="B23" s="56" t="s">
        <v>175</v>
      </c>
      <c r="C23" s="55" t="n">
        <v>1</v>
      </c>
      <c r="D23" s="58" t="s">
        <v>139</v>
      </c>
      <c r="E23" s="57" t="s">
        <v>651</v>
      </c>
    </row>
    <row r="24" customFormat="false" ht="49.25" hidden="false" customHeight="false" outlineLevel="0" collapsed="false">
      <c r="A24" s="55" t="n">
        <v>23</v>
      </c>
      <c r="B24" s="56" t="s">
        <v>175</v>
      </c>
      <c r="C24" s="55" t="n">
        <v>3</v>
      </c>
      <c r="D24" s="55" t="s">
        <v>231</v>
      </c>
      <c r="E24" s="57" t="s">
        <v>652</v>
      </c>
    </row>
    <row r="25" customFormat="false" ht="17.15" hidden="false" customHeight="false" outlineLevel="0" collapsed="false">
      <c r="A25" s="55" t="n">
        <v>24</v>
      </c>
      <c r="B25" s="56" t="s">
        <v>175</v>
      </c>
      <c r="C25" s="55" t="n">
        <v>1</v>
      </c>
      <c r="D25" s="58" t="s">
        <v>139</v>
      </c>
      <c r="E25" s="57" t="s">
        <v>234</v>
      </c>
    </row>
    <row r="26" customFormat="false" ht="17.15" hidden="false" customHeight="false" outlineLevel="0" collapsed="false">
      <c r="A26" s="55" t="n">
        <v>25</v>
      </c>
      <c r="B26" s="56" t="s">
        <v>175</v>
      </c>
      <c r="C26" s="55" t="n">
        <v>1</v>
      </c>
      <c r="D26" s="58" t="s">
        <v>139</v>
      </c>
      <c r="E26" s="57" t="s">
        <v>238</v>
      </c>
    </row>
    <row r="27" customFormat="false" ht="25.35" hidden="false" customHeight="false" outlineLevel="0" collapsed="false">
      <c r="A27" s="55" t="n">
        <v>26</v>
      </c>
      <c r="B27" s="56" t="s">
        <v>175</v>
      </c>
      <c r="C27" s="55" t="n">
        <v>1</v>
      </c>
      <c r="D27" s="58" t="s">
        <v>139</v>
      </c>
      <c r="E27" s="57" t="s">
        <v>653</v>
      </c>
    </row>
    <row r="28" customFormat="false" ht="37.3" hidden="false" customHeight="false" outlineLevel="0" collapsed="false">
      <c r="A28" s="55" t="n">
        <v>27</v>
      </c>
      <c r="B28" s="56" t="s">
        <v>175</v>
      </c>
      <c r="C28" s="55" t="n">
        <v>1</v>
      </c>
      <c r="D28" s="55" t="s">
        <v>123</v>
      </c>
      <c r="E28" s="57" t="s">
        <v>654</v>
      </c>
    </row>
    <row r="29" customFormat="false" ht="37.3" hidden="false" customHeight="false" outlineLevel="0" collapsed="false">
      <c r="A29" s="55" t="n">
        <v>28</v>
      </c>
      <c r="B29" s="56" t="s">
        <v>175</v>
      </c>
      <c r="C29" s="55" t="n">
        <v>1</v>
      </c>
      <c r="D29" s="55" t="s">
        <v>156</v>
      </c>
      <c r="E29" s="57" t="s">
        <v>655</v>
      </c>
    </row>
    <row r="30" customFormat="false" ht="25.35" hidden="false" customHeight="false" outlineLevel="0" collapsed="false">
      <c r="A30" s="55" t="n">
        <v>29</v>
      </c>
      <c r="B30" s="56" t="s">
        <v>175</v>
      </c>
      <c r="C30" s="55" t="n">
        <v>1</v>
      </c>
      <c r="D30" s="58" t="s">
        <v>139</v>
      </c>
      <c r="E30" s="57" t="s">
        <v>656</v>
      </c>
    </row>
    <row r="31" customFormat="false" ht="25.35" hidden="false" customHeight="false" outlineLevel="0" collapsed="false">
      <c r="A31" s="55" t="n">
        <v>30</v>
      </c>
      <c r="B31" s="56" t="s">
        <v>175</v>
      </c>
      <c r="C31" s="55" t="n">
        <v>1</v>
      </c>
      <c r="D31" s="58" t="s">
        <v>139</v>
      </c>
      <c r="E31" s="57" t="s">
        <v>657</v>
      </c>
    </row>
    <row r="32" customFormat="false" ht="25.35" hidden="false" customHeight="false" outlineLevel="0" collapsed="false">
      <c r="A32" s="55" t="n">
        <v>31</v>
      </c>
      <c r="B32" s="56" t="s">
        <v>175</v>
      </c>
      <c r="C32" s="55" t="n">
        <v>1</v>
      </c>
      <c r="D32" s="58" t="s">
        <v>139</v>
      </c>
      <c r="E32" s="57" t="s">
        <v>658</v>
      </c>
    </row>
    <row r="33" customFormat="false" ht="25.35" hidden="false" customHeight="false" outlineLevel="0" collapsed="false">
      <c r="A33" s="55" t="n">
        <v>32</v>
      </c>
      <c r="B33" s="56" t="s">
        <v>175</v>
      </c>
      <c r="C33" s="55" t="n">
        <v>1</v>
      </c>
      <c r="D33" s="58" t="s">
        <v>139</v>
      </c>
      <c r="E33" s="57" t="s">
        <v>659</v>
      </c>
    </row>
    <row r="34" customFormat="false" ht="25.35" hidden="false" customHeight="false" outlineLevel="0" collapsed="false">
      <c r="A34" s="55" t="n">
        <v>33</v>
      </c>
      <c r="B34" s="56" t="s">
        <v>175</v>
      </c>
      <c r="C34" s="55" t="n">
        <v>1</v>
      </c>
      <c r="D34" s="58" t="s">
        <v>139</v>
      </c>
      <c r="E34" s="57" t="s">
        <v>660</v>
      </c>
    </row>
    <row r="35" customFormat="false" ht="17.15" hidden="false" customHeight="false" outlineLevel="0" collapsed="false">
      <c r="A35" s="55" t="n">
        <v>34</v>
      </c>
      <c r="B35" s="56" t="s">
        <v>175</v>
      </c>
      <c r="C35" s="55" t="n">
        <v>1</v>
      </c>
      <c r="D35" s="58" t="s">
        <v>139</v>
      </c>
      <c r="E35" s="57" t="s">
        <v>273</v>
      </c>
    </row>
    <row r="36" customFormat="false" ht="17.15" hidden="false" customHeight="false" outlineLevel="0" collapsed="false">
      <c r="A36" s="55" t="n">
        <v>35</v>
      </c>
      <c r="B36" s="56" t="s">
        <v>175</v>
      </c>
      <c r="C36" s="55" t="n">
        <v>1</v>
      </c>
      <c r="D36" s="58" t="s">
        <v>139</v>
      </c>
      <c r="E36" s="57" t="s">
        <v>276</v>
      </c>
    </row>
    <row r="37" customFormat="false" ht="17.15" hidden="false" customHeight="false" outlineLevel="0" collapsed="false">
      <c r="A37" s="55" t="n">
        <v>36</v>
      </c>
      <c r="B37" s="56" t="s">
        <v>175</v>
      </c>
      <c r="C37" s="55" t="n">
        <v>1</v>
      </c>
      <c r="D37" s="58" t="s">
        <v>139</v>
      </c>
      <c r="E37" s="57" t="s">
        <v>279</v>
      </c>
    </row>
    <row r="38" customFormat="false" ht="25.35" hidden="false" customHeight="false" outlineLevel="0" collapsed="false">
      <c r="A38" s="55" t="n">
        <v>37</v>
      </c>
      <c r="B38" s="56" t="s">
        <v>175</v>
      </c>
      <c r="C38" s="55" t="n">
        <v>1</v>
      </c>
      <c r="D38" s="58" t="s">
        <v>139</v>
      </c>
      <c r="E38" s="57" t="s">
        <v>282</v>
      </c>
    </row>
    <row r="39" customFormat="false" ht="17.15" hidden="false" customHeight="false" outlineLevel="0" collapsed="false">
      <c r="A39" s="55" t="n">
        <v>38</v>
      </c>
      <c r="B39" s="56" t="s">
        <v>175</v>
      </c>
      <c r="C39" s="55" t="n">
        <v>1</v>
      </c>
      <c r="D39" s="58" t="s">
        <v>139</v>
      </c>
      <c r="E39" s="57" t="s">
        <v>286</v>
      </c>
    </row>
    <row r="40" customFormat="false" ht="17.15" hidden="false" customHeight="false" outlineLevel="0" collapsed="false">
      <c r="A40" s="55" t="n">
        <v>39</v>
      </c>
      <c r="B40" s="56" t="s">
        <v>175</v>
      </c>
      <c r="C40" s="55" t="n">
        <v>1</v>
      </c>
      <c r="D40" s="58" t="s">
        <v>139</v>
      </c>
      <c r="E40" s="57" t="s">
        <v>661</v>
      </c>
    </row>
    <row r="41" customFormat="false" ht="17.15" hidden="false" customHeight="false" outlineLevel="0" collapsed="false">
      <c r="A41" s="55" t="n">
        <v>40</v>
      </c>
      <c r="B41" s="56" t="s">
        <v>175</v>
      </c>
      <c r="C41" s="55" t="n">
        <v>1</v>
      </c>
      <c r="D41" s="58" t="s">
        <v>139</v>
      </c>
      <c r="E41" s="57" t="s">
        <v>293</v>
      </c>
    </row>
    <row r="42" customFormat="false" ht="17.15" hidden="false" customHeight="false" outlineLevel="0" collapsed="false">
      <c r="A42" s="55" t="n">
        <v>41</v>
      </c>
      <c r="B42" s="56" t="s">
        <v>175</v>
      </c>
      <c r="C42" s="55" t="n">
        <v>1</v>
      </c>
      <c r="D42" s="58" t="s">
        <v>139</v>
      </c>
      <c r="E42" s="57" t="s">
        <v>662</v>
      </c>
    </row>
    <row r="43" customFormat="false" ht="25.35" hidden="false" customHeight="false" outlineLevel="0" collapsed="false">
      <c r="A43" s="55" t="n">
        <v>42</v>
      </c>
      <c r="B43" s="56" t="s">
        <v>175</v>
      </c>
      <c r="C43" s="55" t="n">
        <v>1</v>
      </c>
      <c r="D43" s="58" t="s">
        <v>139</v>
      </c>
      <c r="E43" s="57" t="s">
        <v>297</v>
      </c>
    </row>
    <row r="44" customFormat="false" ht="49.25" hidden="false" customHeight="false" outlineLevel="0" collapsed="false">
      <c r="A44" s="55" t="n">
        <v>43</v>
      </c>
      <c r="B44" s="56" t="s">
        <v>175</v>
      </c>
      <c r="C44" s="55" t="n">
        <v>1</v>
      </c>
      <c r="D44" s="55" t="s">
        <v>156</v>
      </c>
      <c r="E44" s="57" t="s">
        <v>663</v>
      </c>
    </row>
    <row r="45" customFormat="false" ht="25.35" hidden="false" customHeight="false" outlineLevel="0" collapsed="false">
      <c r="A45" s="55" t="n">
        <v>44</v>
      </c>
      <c r="B45" s="56" t="s">
        <v>175</v>
      </c>
      <c r="C45" s="55" t="n">
        <v>1</v>
      </c>
      <c r="D45" s="55" t="s">
        <v>156</v>
      </c>
      <c r="E45" s="57" t="s">
        <v>664</v>
      </c>
    </row>
    <row r="46" customFormat="false" ht="37.3" hidden="false" customHeight="false" outlineLevel="0" collapsed="false">
      <c r="A46" s="55" t="n">
        <v>45</v>
      </c>
      <c r="B46" s="56" t="s">
        <v>175</v>
      </c>
      <c r="C46" s="55" t="n">
        <v>1</v>
      </c>
      <c r="D46" s="58" t="s">
        <v>139</v>
      </c>
      <c r="E46" s="57" t="s">
        <v>312</v>
      </c>
    </row>
    <row r="47" customFormat="false" ht="25.35" hidden="false" customHeight="false" outlineLevel="0" collapsed="false">
      <c r="A47" s="55" t="n">
        <v>46</v>
      </c>
      <c r="B47" s="56" t="s">
        <v>175</v>
      </c>
      <c r="C47" s="55" t="n">
        <v>1</v>
      </c>
      <c r="D47" s="58" t="s">
        <v>139</v>
      </c>
      <c r="E47" s="57" t="s">
        <v>665</v>
      </c>
    </row>
    <row r="48" customFormat="false" ht="37.3" hidden="false" customHeight="false" outlineLevel="0" collapsed="false">
      <c r="A48" s="55" t="n">
        <v>47</v>
      </c>
      <c r="B48" s="56" t="s">
        <v>317</v>
      </c>
      <c r="C48" s="55" t="n">
        <v>1</v>
      </c>
      <c r="D48" s="58" t="s">
        <v>139</v>
      </c>
      <c r="E48" s="57" t="s">
        <v>318</v>
      </c>
    </row>
    <row r="49" customFormat="false" ht="25.35" hidden="false" customHeight="false" outlineLevel="0" collapsed="false">
      <c r="A49" s="55" t="n">
        <v>48</v>
      </c>
      <c r="B49" s="56" t="s">
        <v>317</v>
      </c>
      <c r="C49" s="55" t="n">
        <v>1</v>
      </c>
      <c r="D49" s="58" t="s">
        <v>139</v>
      </c>
      <c r="E49" s="57" t="s">
        <v>322</v>
      </c>
    </row>
    <row r="50" customFormat="false" ht="17.15" hidden="false" customHeight="false" outlineLevel="0" collapsed="false">
      <c r="A50" s="55" t="n">
        <v>49</v>
      </c>
      <c r="B50" s="56" t="s">
        <v>317</v>
      </c>
      <c r="C50" s="55" t="n">
        <v>1</v>
      </c>
      <c r="D50" s="58" t="s">
        <v>139</v>
      </c>
      <c r="E50" s="57" t="s">
        <v>325</v>
      </c>
    </row>
    <row r="51" customFormat="false" ht="25.35" hidden="false" customHeight="false" outlineLevel="0" collapsed="false">
      <c r="A51" s="55" t="n">
        <v>50</v>
      </c>
      <c r="B51" s="56" t="s">
        <v>317</v>
      </c>
      <c r="C51" s="55" t="n">
        <v>1</v>
      </c>
      <c r="D51" s="55" t="s">
        <v>123</v>
      </c>
      <c r="E51" s="57" t="s">
        <v>666</v>
      </c>
    </row>
    <row r="52" customFormat="false" ht="17.15" hidden="false" customHeight="false" outlineLevel="0" collapsed="false">
      <c r="A52" s="55" t="n">
        <v>51</v>
      </c>
      <c r="B52" s="56" t="s">
        <v>317</v>
      </c>
      <c r="C52" s="55" t="n">
        <v>1</v>
      </c>
      <c r="D52" s="58" t="s">
        <v>139</v>
      </c>
      <c r="E52" s="57" t="s">
        <v>334</v>
      </c>
    </row>
    <row r="53" customFormat="false" ht="17.15" hidden="false" customHeight="false" outlineLevel="0" collapsed="false">
      <c r="A53" s="55" t="n">
        <v>52</v>
      </c>
      <c r="B53" s="56" t="s">
        <v>317</v>
      </c>
      <c r="C53" s="55" t="n">
        <v>1</v>
      </c>
      <c r="D53" s="58" t="s">
        <v>139</v>
      </c>
      <c r="E53" s="57" t="s">
        <v>667</v>
      </c>
    </row>
    <row r="54" customFormat="false" ht="17.15" hidden="false" customHeight="false" outlineLevel="0" collapsed="false">
      <c r="A54" s="55" t="n">
        <v>53</v>
      </c>
      <c r="B54" s="56" t="s">
        <v>317</v>
      </c>
      <c r="C54" s="55" t="n">
        <v>1</v>
      </c>
      <c r="D54" s="58" t="s">
        <v>139</v>
      </c>
      <c r="E54" s="57" t="s">
        <v>668</v>
      </c>
    </row>
    <row r="55" customFormat="false" ht="17.15" hidden="false" customHeight="false" outlineLevel="0" collapsed="false">
      <c r="A55" s="55" t="n">
        <v>54</v>
      </c>
      <c r="B55" s="56" t="s">
        <v>317</v>
      </c>
      <c r="C55" s="55" t="n">
        <v>1</v>
      </c>
      <c r="D55" s="58" t="s">
        <v>139</v>
      </c>
      <c r="E55" s="57" t="s">
        <v>343</v>
      </c>
    </row>
    <row r="56" customFormat="false" ht="17.15" hidden="false" customHeight="false" outlineLevel="0" collapsed="false">
      <c r="A56" s="55" t="n">
        <v>55</v>
      </c>
      <c r="B56" s="56" t="s">
        <v>317</v>
      </c>
      <c r="C56" s="55" t="n">
        <v>1</v>
      </c>
      <c r="D56" s="58" t="s">
        <v>139</v>
      </c>
      <c r="E56" s="57" t="s">
        <v>669</v>
      </c>
    </row>
    <row r="57" customFormat="false" ht="17.15" hidden="false" customHeight="false" outlineLevel="0" collapsed="false">
      <c r="A57" s="55" t="n">
        <v>56</v>
      </c>
      <c r="B57" s="56" t="s">
        <v>317</v>
      </c>
      <c r="C57" s="55" t="n">
        <v>1</v>
      </c>
      <c r="D57" s="58" t="s">
        <v>139</v>
      </c>
      <c r="E57" s="57" t="s">
        <v>350</v>
      </c>
    </row>
    <row r="58" customFormat="false" ht="25.35" hidden="false" customHeight="false" outlineLevel="0" collapsed="false">
      <c r="A58" s="55" t="n">
        <v>57</v>
      </c>
      <c r="B58" s="56" t="s">
        <v>317</v>
      </c>
      <c r="C58" s="55" t="n">
        <v>1</v>
      </c>
      <c r="D58" s="58" t="s">
        <v>139</v>
      </c>
      <c r="E58" s="57" t="s">
        <v>670</v>
      </c>
    </row>
    <row r="59" customFormat="false" ht="17.15" hidden="false" customHeight="false" outlineLevel="0" collapsed="false">
      <c r="A59" s="55" t="n">
        <v>58</v>
      </c>
      <c r="B59" s="56" t="s">
        <v>317</v>
      </c>
      <c r="C59" s="55" t="n">
        <v>1</v>
      </c>
      <c r="D59" s="58" t="s">
        <v>139</v>
      </c>
      <c r="E59" s="57" t="s">
        <v>358</v>
      </c>
    </row>
    <row r="60" customFormat="false" ht="17.15" hidden="false" customHeight="false" outlineLevel="0" collapsed="false">
      <c r="A60" s="55" t="n">
        <v>59</v>
      </c>
      <c r="B60" s="56" t="s">
        <v>317</v>
      </c>
      <c r="C60" s="55" t="n">
        <v>1</v>
      </c>
      <c r="D60" s="58" t="s">
        <v>139</v>
      </c>
      <c r="E60" s="57" t="s">
        <v>361</v>
      </c>
    </row>
    <row r="61" customFormat="false" ht="17.15" hidden="false" customHeight="false" outlineLevel="0" collapsed="false">
      <c r="A61" s="55" t="n">
        <v>60</v>
      </c>
      <c r="B61" s="56" t="s">
        <v>317</v>
      </c>
      <c r="C61" s="55" t="n">
        <v>1</v>
      </c>
      <c r="D61" s="58" t="s">
        <v>139</v>
      </c>
      <c r="E61" s="57" t="s">
        <v>358</v>
      </c>
    </row>
    <row r="62" customFormat="false" ht="17.15" hidden="false" customHeight="false" outlineLevel="0" collapsed="false">
      <c r="A62" s="55" t="n">
        <v>61</v>
      </c>
      <c r="B62" s="56" t="s">
        <v>317</v>
      </c>
      <c r="C62" s="55" t="n">
        <v>1</v>
      </c>
      <c r="D62" s="58" t="s">
        <v>139</v>
      </c>
      <c r="E62" s="57" t="s">
        <v>365</v>
      </c>
    </row>
    <row r="63" customFormat="false" ht="17.15" hidden="false" customHeight="false" outlineLevel="0" collapsed="false">
      <c r="A63" s="55" t="n">
        <v>62</v>
      </c>
      <c r="B63" s="56" t="s">
        <v>317</v>
      </c>
      <c r="C63" s="55" t="n">
        <v>1</v>
      </c>
      <c r="D63" s="58" t="s">
        <v>139</v>
      </c>
      <c r="E63" s="57" t="s">
        <v>369</v>
      </c>
    </row>
    <row r="64" customFormat="false" ht="25.35" hidden="false" customHeight="false" outlineLevel="0" collapsed="false">
      <c r="A64" s="55" t="n">
        <v>63</v>
      </c>
      <c r="B64" s="56" t="s">
        <v>317</v>
      </c>
      <c r="C64" s="55" t="n">
        <v>1</v>
      </c>
      <c r="D64" s="58" t="s">
        <v>139</v>
      </c>
      <c r="E64" s="57" t="s">
        <v>372</v>
      </c>
    </row>
    <row r="65" customFormat="false" ht="17.15" hidden="false" customHeight="false" outlineLevel="0" collapsed="false">
      <c r="A65" s="55" t="n">
        <v>64</v>
      </c>
      <c r="B65" s="56" t="s">
        <v>317</v>
      </c>
      <c r="C65" s="55" t="n">
        <v>1</v>
      </c>
      <c r="D65" s="58" t="s">
        <v>139</v>
      </c>
      <c r="E65" s="57" t="s">
        <v>671</v>
      </c>
    </row>
    <row r="66" customFormat="false" ht="17.15" hidden="false" customHeight="false" outlineLevel="0" collapsed="false">
      <c r="A66" s="55" t="n">
        <v>65</v>
      </c>
      <c r="B66" s="56" t="s">
        <v>317</v>
      </c>
      <c r="C66" s="55" t="n">
        <v>1</v>
      </c>
      <c r="D66" s="58" t="s">
        <v>139</v>
      </c>
      <c r="E66" s="57" t="s">
        <v>378</v>
      </c>
    </row>
    <row r="67" customFormat="false" ht="17.15" hidden="false" customHeight="false" outlineLevel="0" collapsed="false">
      <c r="A67" s="55" t="n">
        <v>66</v>
      </c>
      <c r="B67" s="56" t="s">
        <v>317</v>
      </c>
      <c r="C67" s="55" t="n">
        <v>1</v>
      </c>
      <c r="D67" s="58" t="s">
        <v>139</v>
      </c>
      <c r="E67" s="57" t="s">
        <v>672</v>
      </c>
    </row>
    <row r="68" customFormat="false" ht="17.15" hidden="false" customHeight="false" outlineLevel="0" collapsed="false">
      <c r="A68" s="55" t="n">
        <v>67</v>
      </c>
      <c r="B68" s="56" t="s">
        <v>317</v>
      </c>
      <c r="C68" s="55" t="n">
        <v>1</v>
      </c>
      <c r="D68" s="58" t="s">
        <v>139</v>
      </c>
      <c r="E68" s="57" t="s">
        <v>673</v>
      </c>
    </row>
    <row r="69" customFormat="false" ht="17.15" hidden="false" customHeight="false" outlineLevel="0" collapsed="false">
      <c r="A69" s="55" t="n">
        <v>68</v>
      </c>
      <c r="B69" s="56" t="s">
        <v>317</v>
      </c>
      <c r="C69" s="55" t="n">
        <v>1</v>
      </c>
      <c r="D69" s="58" t="s">
        <v>139</v>
      </c>
      <c r="E69" s="57" t="s">
        <v>674</v>
      </c>
    </row>
    <row r="70" customFormat="false" ht="17.15" hidden="false" customHeight="false" outlineLevel="0" collapsed="false">
      <c r="A70" s="55" t="n">
        <v>69</v>
      </c>
      <c r="B70" s="56" t="s">
        <v>317</v>
      </c>
      <c r="C70" s="55" t="n">
        <v>1</v>
      </c>
      <c r="D70" s="58" t="s">
        <v>139</v>
      </c>
      <c r="E70" s="57" t="s">
        <v>675</v>
      </c>
    </row>
    <row r="71" customFormat="false" ht="17.15" hidden="false" customHeight="false" outlineLevel="0" collapsed="false">
      <c r="A71" s="55" t="n">
        <v>70</v>
      </c>
      <c r="B71" s="56" t="s">
        <v>317</v>
      </c>
      <c r="C71" s="55" t="n">
        <v>1</v>
      </c>
      <c r="D71" s="58" t="s">
        <v>139</v>
      </c>
      <c r="E71" s="57" t="s">
        <v>676</v>
      </c>
    </row>
    <row r="72" customFormat="false" ht="17.15" hidden="false" customHeight="false" outlineLevel="0" collapsed="false">
      <c r="A72" s="55" t="n">
        <v>71</v>
      </c>
      <c r="B72" s="56" t="s">
        <v>317</v>
      </c>
      <c r="C72" s="55" t="n">
        <v>1</v>
      </c>
      <c r="D72" s="58" t="s">
        <v>139</v>
      </c>
      <c r="E72" s="57" t="s">
        <v>677</v>
      </c>
    </row>
    <row r="73" customFormat="false" ht="17.15" hidden="false" customHeight="false" outlineLevel="0" collapsed="false">
      <c r="A73" s="55" t="n">
        <v>72</v>
      </c>
      <c r="B73" s="56" t="s">
        <v>317</v>
      </c>
      <c r="C73" s="55" t="n">
        <v>1</v>
      </c>
      <c r="D73" s="58" t="s">
        <v>139</v>
      </c>
      <c r="E73" s="57" t="s">
        <v>678</v>
      </c>
    </row>
    <row r="74" customFormat="false" ht="37.3" hidden="false" customHeight="false" outlineLevel="0" collapsed="false">
      <c r="A74" s="55" t="n">
        <v>73</v>
      </c>
      <c r="B74" s="56" t="s">
        <v>317</v>
      </c>
      <c r="C74" s="55" t="n">
        <v>1</v>
      </c>
      <c r="D74" s="58" t="s">
        <v>139</v>
      </c>
      <c r="E74" s="57" t="s">
        <v>406</v>
      </c>
    </row>
    <row r="75" customFormat="false" ht="17.15" hidden="false" customHeight="false" outlineLevel="0" collapsed="false">
      <c r="A75" s="55" t="n">
        <v>74</v>
      </c>
      <c r="B75" s="56" t="s">
        <v>317</v>
      </c>
      <c r="C75" s="55" t="n">
        <v>1</v>
      </c>
      <c r="D75" s="58" t="s">
        <v>139</v>
      </c>
      <c r="E75" s="57" t="s">
        <v>409</v>
      </c>
    </row>
    <row r="76" customFormat="false" ht="25.35" hidden="false" customHeight="false" outlineLevel="0" collapsed="false">
      <c r="A76" s="55" t="n">
        <v>75</v>
      </c>
      <c r="B76" s="56" t="s">
        <v>317</v>
      </c>
      <c r="C76" s="55" t="n">
        <v>1</v>
      </c>
      <c r="D76" s="55" t="s">
        <v>231</v>
      </c>
      <c r="E76" s="57" t="s">
        <v>679</v>
      </c>
    </row>
    <row r="77" customFormat="false" ht="25.35" hidden="false" customHeight="false" outlineLevel="0" collapsed="false">
      <c r="A77" s="55" t="n">
        <v>76</v>
      </c>
      <c r="B77" s="56" t="s">
        <v>417</v>
      </c>
      <c r="C77" s="55" t="n">
        <v>3</v>
      </c>
      <c r="D77" s="58" t="s">
        <v>139</v>
      </c>
      <c r="E77" s="57" t="s">
        <v>419</v>
      </c>
    </row>
    <row r="78" customFormat="false" ht="15" hidden="false" customHeight="false" outlineLevel="0" collapsed="false">
      <c r="A78" s="55" t="n">
        <v>77</v>
      </c>
      <c r="B78" s="56" t="s">
        <v>417</v>
      </c>
      <c r="C78" s="55" t="n">
        <v>3</v>
      </c>
      <c r="D78" s="55" t="s">
        <v>123</v>
      </c>
      <c r="E78" s="57" t="s">
        <v>424</v>
      </c>
    </row>
    <row r="79" customFormat="false" ht="17.15" hidden="false" customHeight="false" outlineLevel="0" collapsed="false">
      <c r="A79" s="55" t="n">
        <v>78</v>
      </c>
      <c r="B79" s="56" t="s">
        <v>417</v>
      </c>
      <c r="C79" s="55" t="n">
        <v>3</v>
      </c>
      <c r="D79" s="58" t="s">
        <v>139</v>
      </c>
      <c r="E79" s="57" t="s">
        <v>429</v>
      </c>
    </row>
    <row r="80" customFormat="false" ht="17.15" hidden="false" customHeight="false" outlineLevel="0" collapsed="false">
      <c r="A80" s="55" t="n">
        <v>79</v>
      </c>
      <c r="B80" s="56" t="s">
        <v>417</v>
      </c>
      <c r="C80" s="55" t="n">
        <v>3</v>
      </c>
      <c r="D80" s="58" t="s">
        <v>139</v>
      </c>
      <c r="E80" s="57" t="s">
        <v>431</v>
      </c>
    </row>
    <row r="81" customFormat="false" ht="17.15" hidden="false" customHeight="false" outlineLevel="0" collapsed="false">
      <c r="A81" s="55" t="n">
        <v>80</v>
      </c>
      <c r="B81" s="56" t="s">
        <v>417</v>
      </c>
      <c r="C81" s="55" t="n">
        <v>3</v>
      </c>
      <c r="D81" s="58" t="s">
        <v>139</v>
      </c>
      <c r="E81" s="57" t="s">
        <v>434</v>
      </c>
    </row>
    <row r="82" customFormat="false" ht="17.15" hidden="false" customHeight="false" outlineLevel="0" collapsed="false">
      <c r="A82" s="55" t="n">
        <v>81</v>
      </c>
      <c r="B82" s="56" t="s">
        <v>417</v>
      </c>
      <c r="C82" s="55" t="n">
        <v>3</v>
      </c>
      <c r="D82" s="58" t="s">
        <v>139</v>
      </c>
      <c r="E82" s="57" t="s">
        <v>437</v>
      </c>
    </row>
    <row r="83" customFormat="false" ht="17.15" hidden="false" customHeight="false" outlineLevel="0" collapsed="false">
      <c r="A83" s="55" t="n">
        <v>82</v>
      </c>
      <c r="B83" s="56" t="s">
        <v>417</v>
      </c>
      <c r="C83" s="55" t="n">
        <v>3</v>
      </c>
      <c r="D83" s="58" t="s">
        <v>139</v>
      </c>
      <c r="E83" s="57" t="s">
        <v>680</v>
      </c>
    </row>
    <row r="84" customFormat="false" ht="25.35" hidden="false" customHeight="false" outlineLevel="0" collapsed="false">
      <c r="A84" s="55" t="n">
        <v>83</v>
      </c>
      <c r="B84" s="56" t="s">
        <v>417</v>
      </c>
      <c r="C84" s="55" t="n">
        <v>3</v>
      </c>
      <c r="D84" s="58" t="s">
        <v>139</v>
      </c>
      <c r="E84" s="57" t="s">
        <v>681</v>
      </c>
    </row>
    <row r="85" customFormat="false" ht="37.3" hidden="false" customHeight="false" outlineLevel="0" collapsed="false">
      <c r="A85" s="55" t="n">
        <v>84</v>
      </c>
      <c r="B85" s="56" t="s">
        <v>417</v>
      </c>
      <c r="C85" s="55" t="n">
        <v>3</v>
      </c>
      <c r="D85" s="55" t="s">
        <v>123</v>
      </c>
      <c r="E85" s="57" t="s">
        <v>682</v>
      </c>
    </row>
    <row r="86" customFormat="false" ht="25.35" hidden="false" customHeight="false" outlineLevel="0" collapsed="false">
      <c r="A86" s="55" t="n">
        <v>85</v>
      </c>
      <c r="B86" s="56" t="s">
        <v>417</v>
      </c>
      <c r="C86" s="55" t="n">
        <v>3</v>
      </c>
      <c r="D86" s="55" t="s">
        <v>123</v>
      </c>
      <c r="E86" s="57" t="s">
        <v>683</v>
      </c>
    </row>
    <row r="87" customFormat="false" ht="25.35" hidden="false" customHeight="false" outlineLevel="0" collapsed="false">
      <c r="A87" s="55" t="n">
        <v>86</v>
      </c>
      <c r="B87" s="56" t="s">
        <v>417</v>
      </c>
      <c r="C87" s="55" t="n">
        <v>1</v>
      </c>
      <c r="D87" s="55" t="s">
        <v>123</v>
      </c>
      <c r="E87" s="57" t="s">
        <v>684</v>
      </c>
    </row>
    <row r="88" customFormat="false" ht="17.15" hidden="false" customHeight="false" outlineLevel="0" collapsed="false">
      <c r="A88" s="55" t="n">
        <v>87</v>
      </c>
      <c r="B88" s="56" t="s">
        <v>417</v>
      </c>
      <c r="C88" s="55" t="n">
        <v>1</v>
      </c>
      <c r="D88" s="58" t="s">
        <v>139</v>
      </c>
      <c r="E88" s="57" t="s">
        <v>462</v>
      </c>
    </row>
    <row r="89" customFormat="false" ht="17.15" hidden="false" customHeight="false" outlineLevel="0" collapsed="false">
      <c r="A89" s="55" t="n">
        <v>88</v>
      </c>
      <c r="B89" s="56" t="s">
        <v>417</v>
      </c>
      <c r="C89" s="55" t="n">
        <v>3</v>
      </c>
      <c r="D89" s="58" t="s">
        <v>139</v>
      </c>
      <c r="E89" s="57" t="s">
        <v>466</v>
      </c>
    </row>
    <row r="90" customFormat="false" ht="25.35" hidden="false" customHeight="false" outlineLevel="0" collapsed="false">
      <c r="A90" s="55" t="n">
        <v>89</v>
      </c>
      <c r="B90" s="56" t="s">
        <v>417</v>
      </c>
      <c r="C90" s="55" t="n">
        <v>3</v>
      </c>
      <c r="D90" s="58" t="s">
        <v>139</v>
      </c>
      <c r="E90" s="57" t="s">
        <v>469</v>
      </c>
    </row>
    <row r="91" customFormat="false" ht="17.15" hidden="false" customHeight="false" outlineLevel="0" collapsed="false">
      <c r="A91" s="55" t="n">
        <v>90</v>
      </c>
      <c r="B91" s="56" t="s">
        <v>417</v>
      </c>
      <c r="C91" s="55" t="n">
        <v>3</v>
      </c>
      <c r="D91" s="58" t="s">
        <v>139</v>
      </c>
      <c r="E91" s="57" t="s">
        <v>472</v>
      </c>
    </row>
    <row r="92" customFormat="false" ht="25.35" hidden="false" customHeight="false" outlineLevel="0" collapsed="false">
      <c r="A92" s="55" t="n">
        <v>91</v>
      </c>
      <c r="B92" s="56" t="s">
        <v>417</v>
      </c>
      <c r="C92" s="55" t="n">
        <v>3</v>
      </c>
      <c r="D92" s="58" t="s">
        <v>139</v>
      </c>
      <c r="E92" s="57" t="s">
        <v>685</v>
      </c>
    </row>
    <row r="93" customFormat="false" ht="25.35" hidden="false" customHeight="false" outlineLevel="0" collapsed="false">
      <c r="A93" s="55" t="n">
        <v>92</v>
      </c>
      <c r="B93" s="56" t="s">
        <v>417</v>
      </c>
      <c r="C93" s="55" t="n">
        <v>3</v>
      </c>
      <c r="D93" s="58" t="s">
        <v>139</v>
      </c>
      <c r="E93" s="57" t="s">
        <v>478</v>
      </c>
    </row>
    <row r="94" customFormat="false" ht="17.15" hidden="false" customHeight="false" outlineLevel="0" collapsed="false">
      <c r="A94" s="55" t="n">
        <v>93</v>
      </c>
      <c r="B94" s="56" t="s">
        <v>481</v>
      </c>
      <c r="C94" s="55" t="n">
        <v>1</v>
      </c>
      <c r="D94" s="58" t="s">
        <v>139</v>
      </c>
      <c r="E94" s="57" t="s">
        <v>686</v>
      </c>
    </row>
    <row r="95" customFormat="false" ht="17.15" hidden="false" customHeight="false" outlineLevel="0" collapsed="false">
      <c r="A95" s="55" t="n">
        <v>94</v>
      </c>
      <c r="B95" s="56" t="s">
        <v>481</v>
      </c>
      <c r="C95" s="55" t="n">
        <v>1</v>
      </c>
      <c r="D95" s="58" t="s">
        <v>139</v>
      </c>
      <c r="E95" s="57" t="s">
        <v>687</v>
      </c>
    </row>
    <row r="96" customFormat="false" ht="17.15" hidden="false" customHeight="false" outlineLevel="0" collapsed="false">
      <c r="A96" s="55" t="n">
        <v>95</v>
      </c>
      <c r="B96" s="56" t="s">
        <v>481</v>
      </c>
      <c r="C96" s="55" t="n">
        <v>1</v>
      </c>
      <c r="D96" s="58" t="s">
        <v>139</v>
      </c>
      <c r="E96" s="57" t="s">
        <v>489</v>
      </c>
    </row>
    <row r="97" customFormat="false" ht="17.15" hidden="false" customHeight="false" outlineLevel="0" collapsed="false">
      <c r="A97" s="55" t="n">
        <v>96</v>
      </c>
      <c r="B97" s="56" t="s">
        <v>481</v>
      </c>
      <c r="C97" s="55" t="n">
        <v>1</v>
      </c>
      <c r="D97" s="58" t="s">
        <v>139</v>
      </c>
      <c r="E97" s="57" t="s">
        <v>492</v>
      </c>
    </row>
    <row r="98" customFormat="false" ht="17.15" hidden="false" customHeight="false" outlineLevel="0" collapsed="false">
      <c r="A98" s="55" t="n">
        <v>97</v>
      </c>
      <c r="B98" s="56" t="s">
        <v>481</v>
      </c>
      <c r="C98" s="55" t="n">
        <v>1</v>
      </c>
      <c r="D98" s="58" t="s">
        <v>139</v>
      </c>
      <c r="E98" s="57" t="s">
        <v>688</v>
      </c>
    </row>
    <row r="99" customFormat="false" ht="25.35" hidden="false" customHeight="false" outlineLevel="0" collapsed="false">
      <c r="A99" s="55" t="n">
        <v>98</v>
      </c>
      <c r="B99" s="56" t="s">
        <v>481</v>
      </c>
      <c r="C99" s="55" t="n">
        <v>1</v>
      </c>
      <c r="D99" s="55" t="s">
        <v>123</v>
      </c>
      <c r="E99" s="57" t="s">
        <v>689</v>
      </c>
    </row>
    <row r="100" customFormat="false" ht="17.15" hidden="false" customHeight="false" outlineLevel="0" collapsed="false">
      <c r="A100" s="55" t="n">
        <v>99</v>
      </c>
      <c r="B100" s="56" t="s">
        <v>481</v>
      </c>
      <c r="C100" s="55" t="n">
        <v>1</v>
      </c>
      <c r="D100" s="58" t="s">
        <v>139</v>
      </c>
      <c r="E100" s="57" t="s">
        <v>690</v>
      </c>
    </row>
    <row r="101" customFormat="false" ht="15" hidden="false" customHeight="false" outlineLevel="0" collapsed="false">
      <c r="A101" s="55" t="n">
        <v>100</v>
      </c>
      <c r="B101" s="56" t="s">
        <v>481</v>
      </c>
      <c r="C101" s="55" t="n">
        <v>1</v>
      </c>
      <c r="D101" s="55" t="s">
        <v>123</v>
      </c>
      <c r="E101" s="57" t="s">
        <v>508</v>
      </c>
    </row>
    <row r="102" customFormat="false" ht="25.35" hidden="false" customHeight="false" outlineLevel="0" collapsed="false">
      <c r="A102" s="55" t="n">
        <v>101</v>
      </c>
      <c r="B102" s="56" t="s">
        <v>481</v>
      </c>
      <c r="C102" s="55" t="n">
        <v>1</v>
      </c>
      <c r="D102" s="55" t="s">
        <v>123</v>
      </c>
      <c r="E102" s="57" t="s">
        <v>513</v>
      </c>
    </row>
    <row r="103" customFormat="false" ht="15" hidden="false" customHeight="false" outlineLevel="0" collapsed="false">
      <c r="A103" s="55" t="n">
        <v>102</v>
      </c>
      <c r="B103" s="56" t="s">
        <v>481</v>
      </c>
      <c r="C103" s="55" t="n">
        <v>1</v>
      </c>
      <c r="D103" s="55" t="s">
        <v>123</v>
      </c>
      <c r="E103" s="57" t="s">
        <v>515</v>
      </c>
    </row>
    <row r="104" customFormat="false" ht="25.35" hidden="false" customHeight="false" outlineLevel="0" collapsed="false">
      <c r="A104" s="55" t="n">
        <v>103</v>
      </c>
      <c r="B104" s="56" t="s">
        <v>481</v>
      </c>
      <c r="C104" s="55" t="n">
        <v>1</v>
      </c>
      <c r="D104" s="55" t="s">
        <v>123</v>
      </c>
      <c r="E104" s="57" t="s">
        <v>518</v>
      </c>
    </row>
    <row r="105" customFormat="false" ht="15" hidden="false" customHeight="false" outlineLevel="0" collapsed="false">
      <c r="A105" s="55" t="n">
        <v>104</v>
      </c>
      <c r="B105" s="56" t="s">
        <v>481</v>
      </c>
      <c r="C105" s="55" t="n">
        <v>1</v>
      </c>
      <c r="D105" s="55" t="s">
        <v>123</v>
      </c>
      <c r="E105" s="57" t="s">
        <v>520</v>
      </c>
    </row>
    <row r="106" customFormat="false" ht="15" hidden="false" customHeight="false" outlineLevel="0" collapsed="false">
      <c r="A106" s="55" t="n">
        <v>105</v>
      </c>
      <c r="B106" s="56" t="s">
        <v>481</v>
      </c>
      <c r="C106" s="55" t="n">
        <v>1</v>
      </c>
      <c r="D106" s="55" t="s">
        <v>123</v>
      </c>
      <c r="E106" s="57" t="s">
        <v>522</v>
      </c>
    </row>
    <row r="107" customFormat="false" ht="25.35" hidden="false" customHeight="false" outlineLevel="0" collapsed="false">
      <c r="A107" s="55" t="n">
        <v>106</v>
      </c>
      <c r="B107" s="56" t="s">
        <v>481</v>
      </c>
      <c r="C107" s="55" t="n">
        <v>1</v>
      </c>
      <c r="D107" s="55" t="s">
        <v>123</v>
      </c>
      <c r="E107" s="57" t="s">
        <v>524</v>
      </c>
    </row>
    <row r="108" customFormat="false" ht="25.35" hidden="false" customHeight="false" outlineLevel="0" collapsed="false">
      <c r="A108" s="55" t="n">
        <v>107</v>
      </c>
      <c r="B108" s="56" t="s">
        <v>481</v>
      </c>
      <c r="C108" s="55" t="n">
        <v>1</v>
      </c>
      <c r="D108" s="58" t="s">
        <v>139</v>
      </c>
      <c r="E108" s="57" t="s">
        <v>526</v>
      </c>
    </row>
    <row r="109" customFormat="false" ht="25.35" hidden="false" customHeight="false" outlineLevel="0" collapsed="false">
      <c r="A109" s="55" t="n">
        <v>108</v>
      </c>
      <c r="B109" s="56" t="s">
        <v>481</v>
      </c>
      <c r="C109" s="55" t="n">
        <v>1</v>
      </c>
      <c r="D109" s="58" t="s">
        <v>139</v>
      </c>
      <c r="E109" s="57" t="s">
        <v>529</v>
      </c>
    </row>
    <row r="110" customFormat="false" ht="25.35" hidden="false" customHeight="false" outlineLevel="0" collapsed="false">
      <c r="A110" s="55" t="n">
        <v>109</v>
      </c>
      <c r="B110" s="56" t="s">
        <v>481</v>
      </c>
      <c r="C110" s="55" t="n">
        <v>1</v>
      </c>
      <c r="D110" s="55" t="s">
        <v>123</v>
      </c>
      <c r="E110" s="57" t="s">
        <v>532</v>
      </c>
    </row>
    <row r="111" customFormat="false" ht="25.35" hidden="false" customHeight="false" outlineLevel="0" collapsed="false">
      <c r="A111" s="55" t="n">
        <v>110</v>
      </c>
      <c r="B111" s="56" t="s">
        <v>481</v>
      </c>
      <c r="C111" s="55" t="n">
        <v>1</v>
      </c>
      <c r="D111" s="58" t="s">
        <v>139</v>
      </c>
      <c r="E111" s="57" t="s">
        <v>534</v>
      </c>
    </row>
    <row r="112" customFormat="false" ht="25.35" hidden="false" customHeight="false" outlineLevel="0" collapsed="false">
      <c r="A112" s="55" t="n">
        <v>111</v>
      </c>
      <c r="B112" s="56" t="s">
        <v>481</v>
      </c>
      <c r="C112" s="55" t="n">
        <v>1</v>
      </c>
      <c r="D112" s="58" t="s">
        <v>139</v>
      </c>
      <c r="E112" s="57" t="s">
        <v>537</v>
      </c>
    </row>
    <row r="113" customFormat="false" ht="25.35" hidden="false" customHeight="false" outlineLevel="0" collapsed="false">
      <c r="A113" s="55" t="n">
        <v>112</v>
      </c>
      <c r="B113" s="56" t="s">
        <v>481</v>
      </c>
      <c r="C113" s="55" t="n">
        <v>1</v>
      </c>
      <c r="D113" s="58" t="s">
        <v>139</v>
      </c>
      <c r="E113" s="57" t="s">
        <v>539</v>
      </c>
    </row>
    <row r="114" customFormat="false" ht="17.15" hidden="false" customHeight="false" outlineLevel="0" collapsed="false">
      <c r="A114" s="55" t="n">
        <v>113</v>
      </c>
      <c r="B114" s="56" t="s">
        <v>481</v>
      </c>
      <c r="C114" s="55" t="n">
        <v>1</v>
      </c>
      <c r="D114" s="58" t="s">
        <v>139</v>
      </c>
      <c r="E114" s="57" t="s">
        <v>541</v>
      </c>
    </row>
    <row r="115" customFormat="false" ht="25.35" hidden="false" customHeight="false" outlineLevel="0" collapsed="false">
      <c r="A115" s="55" t="n">
        <v>114</v>
      </c>
      <c r="B115" s="56" t="s">
        <v>481</v>
      </c>
      <c r="C115" s="55" t="n">
        <v>3</v>
      </c>
      <c r="D115" s="55" t="s">
        <v>123</v>
      </c>
      <c r="E115" s="57" t="s">
        <v>545</v>
      </c>
    </row>
    <row r="116" customFormat="false" ht="15" hidden="false" customHeight="false" outlineLevel="0" collapsed="false">
      <c r="A116" s="55" t="n">
        <v>115</v>
      </c>
      <c r="B116" s="56" t="s">
        <v>481</v>
      </c>
      <c r="C116" s="55" t="n">
        <v>1</v>
      </c>
      <c r="D116" s="55" t="s">
        <v>123</v>
      </c>
      <c r="E116" s="57" t="s">
        <v>691</v>
      </c>
    </row>
    <row r="117" customFormat="false" ht="17.15" hidden="false" customHeight="false" outlineLevel="0" collapsed="false">
      <c r="A117" s="55" t="n">
        <v>116</v>
      </c>
      <c r="B117" s="56" t="s">
        <v>481</v>
      </c>
      <c r="C117" s="55" t="n">
        <v>1</v>
      </c>
      <c r="D117" s="58" t="s">
        <v>139</v>
      </c>
      <c r="E117" s="57" t="s">
        <v>692</v>
      </c>
    </row>
    <row r="118" customFormat="false" ht="17.15" hidden="false" customHeight="false" outlineLevel="0" collapsed="false">
      <c r="A118" s="55" t="n">
        <v>117</v>
      </c>
      <c r="B118" s="56" t="s">
        <v>481</v>
      </c>
      <c r="C118" s="55" t="n">
        <v>1</v>
      </c>
      <c r="D118" s="58" t="s">
        <v>139</v>
      </c>
      <c r="E118" s="57" t="s">
        <v>556</v>
      </c>
    </row>
    <row r="119" customFormat="false" ht="15" hidden="false" customHeight="false" outlineLevel="0" collapsed="false">
      <c r="A119" s="55" t="n">
        <v>118</v>
      </c>
      <c r="B119" s="56" t="s">
        <v>481</v>
      </c>
      <c r="C119" s="55" t="n">
        <v>1</v>
      </c>
      <c r="D119" s="55" t="s">
        <v>123</v>
      </c>
      <c r="E119" s="57" t="s">
        <v>693</v>
      </c>
    </row>
    <row r="120" customFormat="false" ht="25.35" hidden="false" customHeight="false" outlineLevel="0" collapsed="false">
      <c r="A120" s="55" t="n">
        <v>119</v>
      </c>
      <c r="B120" s="56" t="s">
        <v>481</v>
      </c>
      <c r="C120" s="55" t="n">
        <v>1</v>
      </c>
      <c r="D120" s="58" t="s">
        <v>139</v>
      </c>
      <c r="E120" s="57" t="s">
        <v>564</v>
      </c>
    </row>
    <row r="121" customFormat="false" ht="17.15" hidden="false" customHeight="false" outlineLevel="0" collapsed="false">
      <c r="A121" s="55" t="n">
        <v>120</v>
      </c>
      <c r="B121" s="56" t="s">
        <v>481</v>
      </c>
      <c r="C121" s="55" t="n">
        <v>1</v>
      </c>
      <c r="D121" s="58" t="s">
        <v>139</v>
      </c>
      <c r="E121" s="57" t="s">
        <v>567</v>
      </c>
    </row>
    <row r="122" customFormat="false" ht="25.35" hidden="false" customHeight="false" outlineLevel="0" collapsed="false">
      <c r="A122" s="55" t="n">
        <v>121</v>
      </c>
      <c r="B122" s="56" t="s">
        <v>481</v>
      </c>
      <c r="C122" s="55" t="n">
        <v>1</v>
      </c>
      <c r="D122" s="58" t="s">
        <v>139</v>
      </c>
      <c r="E122" s="57" t="s">
        <v>569</v>
      </c>
    </row>
    <row r="123" customFormat="false" ht="17.15" hidden="false" customHeight="false" outlineLevel="0" collapsed="false">
      <c r="A123" s="55" t="n">
        <v>122</v>
      </c>
      <c r="B123" s="56" t="s">
        <v>481</v>
      </c>
      <c r="C123" s="55" t="n">
        <v>1</v>
      </c>
      <c r="D123" s="58" t="s">
        <v>139</v>
      </c>
      <c r="E123" s="57" t="s">
        <v>694</v>
      </c>
    </row>
    <row r="124" customFormat="false" ht="17.15" hidden="false" customHeight="false" outlineLevel="0" collapsed="false">
      <c r="A124" s="55" t="n">
        <v>123</v>
      </c>
      <c r="B124" s="56" t="s">
        <v>481</v>
      </c>
      <c r="C124" s="55" t="n">
        <v>1</v>
      </c>
      <c r="D124" s="58" t="s">
        <v>139</v>
      </c>
      <c r="E124" s="57" t="s">
        <v>695</v>
      </c>
    </row>
    <row r="125" customFormat="false" ht="37.3" hidden="false" customHeight="false" outlineLevel="0" collapsed="false">
      <c r="A125" s="55" t="n">
        <v>124</v>
      </c>
      <c r="B125" s="56" t="s">
        <v>481</v>
      </c>
      <c r="C125" s="55" t="n">
        <v>1</v>
      </c>
      <c r="D125" s="58" t="s">
        <v>139</v>
      </c>
      <c r="E125" s="57" t="s">
        <v>696</v>
      </c>
    </row>
    <row r="126" customFormat="false" ht="17.15" hidden="false" customHeight="false" outlineLevel="0" collapsed="false">
      <c r="A126" s="55" t="n">
        <v>125</v>
      </c>
      <c r="B126" s="56" t="s">
        <v>481</v>
      </c>
      <c r="C126" s="55" t="n">
        <v>1</v>
      </c>
      <c r="D126" s="58" t="s">
        <v>139</v>
      </c>
      <c r="E126" s="57" t="s">
        <v>697</v>
      </c>
    </row>
    <row r="127" customFormat="false" ht="17.15" hidden="false" customHeight="false" outlineLevel="0" collapsed="false">
      <c r="A127" s="55" t="n">
        <v>126</v>
      </c>
      <c r="B127" s="56" t="s">
        <v>481</v>
      </c>
      <c r="C127" s="55" t="n">
        <v>1</v>
      </c>
      <c r="D127" s="58" t="s">
        <v>139</v>
      </c>
      <c r="E127" s="57" t="s">
        <v>582</v>
      </c>
    </row>
    <row r="128" customFormat="false" ht="17.15" hidden="false" customHeight="false" outlineLevel="0" collapsed="false">
      <c r="A128" s="55" t="n">
        <v>127</v>
      </c>
      <c r="B128" s="56" t="s">
        <v>481</v>
      </c>
      <c r="C128" s="55" t="n">
        <v>1</v>
      </c>
      <c r="D128" s="58" t="s">
        <v>139</v>
      </c>
      <c r="E128" s="57" t="s">
        <v>584</v>
      </c>
    </row>
    <row r="129" customFormat="false" ht="17.15" hidden="false" customHeight="false" outlineLevel="0" collapsed="false">
      <c r="A129" s="55" t="n">
        <v>128</v>
      </c>
      <c r="B129" s="56" t="s">
        <v>481</v>
      </c>
      <c r="C129" s="55" t="n">
        <v>1</v>
      </c>
      <c r="D129" s="58" t="s">
        <v>139</v>
      </c>
      <c r="E129" s="57" t="s">
        <v>587</v>
      </c>
    </row>
    <row r="130" customFormat="false" ht="17.15" hidden="false" customHeight="false" outlineLevel="0" collapsed="false">
      <c r="A130" s="55" t="n">
        <v>129</v>
      </c>
      <c r="B130" s="56" t="s">
        <v>481</v>
      </c>
      <c r="C130" s="55" t="n">
        <v>1</v>
      </c>
      <c r="D130" s="58" t="s">
        <v>139</v>
      </c>
      <c r="E130" s="57" t="s">
        <v>590</v>
      </c>
    </row>
    <row r="131" customFormat="false" ht="17.15" hidden="false" customHeight="false" outlineLevel="0" collapsed="false">
      <c r="A131" s="55" t="n">
        <v>130</v>
      </c>
      <c r="B131" s="56" t="s">
        <v>481</v>
      </c>
      <c r="C131" s="55" t="n">
        <v>1</v>
      </c>
      <c r="D131" s="58" t="s">
        <v>139</v>
      </c>
      <c r="E131" s="57" t="s">
        <v>593</v>
      </c>
    </row>
    <row r="132" customFormat="false" ht="37.3" hidden="false" customHeight="false" outlineLevel="0" collapsed="false">
      <c r="A132" s="55" t="n">
        <v>131</v>
      </c>
      <c r="B132" s="56" t="s">
        <v>596</v>
      </c>
      <c r="C132" s="55" t="n">
        <v>3</v>
      </c>
      <c r="D132" s="55" t="s">
        <v>123</v>
      </c>
      <c r="E132" s="57" t="s">
        <v>698</v>
      </c>
    </row>
    <row r="133" customFormat="false" ht="25.35" hidden="false" customHeight="false" outlineLevel="0" collapsed="false">
      <c r="A133" s="55" t="n">
        <v>132</v>
      </c>
      <c r="B133" s="56" t="s">
        <v>596</v>
      </c>
      <c r="C133" s="55" t="n">
        <v>1</v>
      </c>
      <c r="D133" s="55" t="s">
        <v>156</v>
      </c>
      <c r="E133" s="57" t="s">
        <v>604</v>
      </c>
    </row>
    <row r="134" customFormat="false" ht="25.35" hidden="false" customHeight="false" outlineLevel="0" collapsed="false">
      <c r="A134" s="55" t="n">
        <v>133</v>
      </c>
      <c r="B134" s="56" t="s">
        <v>596</v>
      </c>
      <c r="C134" s="55" t="n">
        <v>1</v>
      </c>
      <c r="D134" s="55" t="s">
        <v>156</v>
      </c>
      <c r="E134" s="57" t="s">
        <v>699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2026-08-01T05:01:40Z</dcterms:created>
  <dc:creator>openpyxl</dc:creator>
  <dc:description/>
  <dc:language>en-US</dc:language>
  <cp:lastModifiedBy/>
  <dcterms:modified xsi:type="dcterms:W3CDTF">2026-08-01T05:01:40Z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